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gurpinderuppal/Library/CloudStorage/Dropbox/RC Royal Construction/1 Sample Property Portfolio/1. Quote/"/>
    </mc:Choice>
  </mc:AlternateContent>
  <xr:revisionPtr revIDLastSave="0" documentId="13_ncr:1_{C5474F26-DE72-6B42-B610-3797DBC8CC4A}" xr6:coauthVersionLast="47" xr6:coauthVersionMax="47" xr10:uidLastSave="{00000000-0000-0000-0000-000000000000}"/>
  <bookViews>
    <workbookView xWindow="0" yWindow="600" windowWidth="18500" windowHeight="19020" tabRatio="500" activeTab="3" xr2:uid="{00000000-000D-0000-FFFF-FFFF00000000}"/>
  </bookViews>
  <sheets>
    <sheet name="COVER" sheetId="1" r:id="rId1"/>
    <sheet name="QUOTE" sheetId="2" r:id="rId2"/>
    <sheet name="ALLOWANCES" sheetId="3" r:id="rId3"/>
    <sheet name="MARGIN ANALYSIS" sheetId="4" r:id="rId4"/>
    <sheet name="SETTINGS" sheetId="5" r:id="rId5"/>
    <sheet name="HOW TO USE" sheetId="6" r:id="rId6"/>
  </sheets>
  <definedNames>
    <definedName name="ADMIN_COST">SETTINGS!$B$8</definedName>
    <definedName name="CONTINGENCY">SETTINGS!$B$10</definedName>
    <definedName name="CONTINGENCY__">QUOTE!$E$147</definedName>
    <definedName name="CONTRACT_VALUE">QUOTE!$E$152</definedName>
    <definedName name="COST_BASE">QUOTE!$E$148</definedName>
    <definedName name="DIRECT_TOTAL">QUOTE!$E$143</definedName>
    <definedName name="E_ADMIN">QUOTE!$E$145</definedName>
    <definedName name="E_HBCF">QUOTE!$E$144</definedName>
    <definedName name="E_PM">QUOTE!$E$146</definedName>
    <definedName name="GROSS_MARGIN_PCT">QUOTE!$E$155</definedName>
    <definedName name="GST_AMT">QUOTE!$E$151</definedName>
    <definedName name="GST_RATE">SETTINGS!$B$6</definedName>
    <definedName name="HBCF_RATE">SETTINGS!$B$7</definedName>
    <definedName name="MARGIN_DOLLAR">QUOTE!$E$149</definedName>
    <definedName name="MIN_MARGIN">SETTINGS!$B$5</definedName>
    <definedName name="PER_SQM">QUOTE!$E$154</definedName>
    <definedName name="PM_COST">SETTINGS!$B$9</definedName>
    <definedName name="SUBTOTAL_EX">QUOTE!$E$150</definedName>
    <definedName name="TARGET_MARGIN">SETTINGS!$B$4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" i="4" l="1"/>
  <c r="B8" i="4"/>
  <c r="E146" i="2"/>
  <c r="E145" i="2"/>
  <c r="E139" i="2"/>
  <c r="E128" i="2"/>
  <c r="E118" i="2"/>
  <c r="E112" i="2"/>
  <c r="E105" i="2"/>
  <c r="E98" i="2"/>
  <c r="E90" i="2"/>
  <c r="E80" i="2"/>
  <c r="E75" i="2"/>
  <c r="E66" i="2"/>
  <c r="E56" i="2"/>
  <c r="E40" i="2"/>
  <c r="E31" i="2"/>
  <c r="E23" i="2"/>
  <c r="E14" i="2"/>
  <c r="E143" i="2" s="1"/>
  <c r="E29" i="1"/>
  <c r="E28" i="1"/>
  <c r="B23" i="1"/>
  <c r="E144" i="2" l="1"/>
  <c r="E27" i="1" s="1"/>
  <c r="E26" i="1"/>
  <c r="E147" i="2"/>
  <c r="E148" i="2" l="1"/>
  <c r="E30" i="1"/>
  <c r="E149" i="2"/>
  <c r="B5" i="4"/>
  <c r="E31" i="1" l="1"/>
  <c r="B6" i="4"/>
  <c r="E150" i="2"/>
  <c r="E151" i="2" l="1"/>
  <c r="E33" i="1" s="1"/>
  <c r="E32" i="1"/>
  <c r="E155" i="2"/>
  <c r="B10" i="4" l="1"/>
  <c r="B7" i="4"/>
  <c r="E36" i="1"/>
  <c r="E152" i="2"/>
  <c r="E154" i="2" l="1"/>
  <c r="E35" i="1"/>
  <c r="E34" i="1"/>
  <c r="B4" i="4"/>
</calcChain>
</file>

<file path=xl/sharedStrings.xml><?xml version="1.0" encoding="utf-8"?>
<sst xmlns="http://schemas.openxmlformats.org/spreadsheetml/2006/main" count="357" uniqueCount="307">
  <si>
    <t>ROYAL CONSTRUCTIONS PTY LTD</t>
  </si>
  <si>
    <t>QUOTE / CONSTRUCTION COSTING</t>
  </si>
  <si>
    <t>Custom Home Builders · Accredited Oran Park · NSW Builders Licence</t>
  </si>
  <si>
    <t>PROJECT NAME</t>
  </si>
  <si>
    <t>[Client Surname] — [Suburb] Custom Build</t>
  </si>
  <si>
    <t>CLIENT NAME(S)</t>
  </si>
  <si>
    <t>[Client full name]</t>
  </si>
  <si>
    <t>CLIENT CONTACT</t>
  </si>
  <si>
    <t>[Email / Phone]</t>
  </si>
  <si>
    <t>SITE ADDRESS</t>
  </si>
  <si>
    <t>[Lot, Street, Suburb, NSW, Postcode]</t>
  </si>
  <si>
    <t>LOT DETAILS</t>
  </si>
  <si>
    <t>Lot [#] DP [#]</t>
  </si>
  <si>
    <t>BUILD TYPE</t>
  </si>
  <si>
    <t>[Single Storey / Double Storey / Duplex / KDR / Granny Flat]</t>
  </si>
  <si>
    <t>QUOTE DATE</t>
  </si>
  <si>
    <t>[DD/MM/YYYY]</t>
  </si>
  <si>
    <t>QUOTE REFERENCE</t>
  </si>
  <si>
    <t>RC-Q-[YYYY]-[###]</t>
  </si>
  <si>
    <t>PREPARED BY</t>
  </si>
  <si>
    <t>[Estimator name]</t>
  </si>
  <si>
    <t>VALID UNTIL</t>
  </si>
  <si>
    <t>[30 days from quote date]</t>
  </si>
  <si>
    <t>BUILDING SIZE</t>
  </si>
  <si>
    <t>Ground Floor</t>
  </si>
  <si>
    <t>First Floor</t>
  </si>
  <si>
    <t>Granny Flat</t>
  </si>
  <si>
    <t>Garage</t>
  </si>
  <si>
    <t>Alfresco / Porch</t>
  </si>
  <si>
    <t>TOTAL AREA</t>
  </si>
  <si>
    <t>CONTRACT SUMMARY (Auto-Calculated from QUOTE)</t>
  </si>
  <si>
    <t>Total Direct Cost (subbies + materials)</t>
  </si>
  <si>
    <t>HBCF Insurance</t>
  </si>
  <si>
    <t>Admin Cost</t>
  </si>
  <si>
    <t>Project Management (labour)</t>
  </si>
  <si>
    <t>Total Cost Base</t>
  </si>
  <si>
    <t>Builder Margin</t>
  </si>
  <si>
    <t>Subtotal (ex-GST)</t>
  </si>
  <si>
    <t>GST (10%)</t>
  </si>
  <si>
    <t>CONTRACT VALUE (inc GST)</t>
  </si>
  <si>
    <t>Per m²</t>
  </si>
  <si>
    <t>Gross Margin %</t>
  </si>
  <si>
    <t>ROYAL CONSTRUCTIONS — DETAILED COSTING</t>
  </si>
  <si>
    <t>Edit cost figures only. Stage subtotals and contract totals are formula-driven.</t>
  </si>
  <si>
    <t>Stage / Item</t>
  </si>
  <si>
    <t>Trade / Vendor</t>
  </si>
  <si>
    <t>Notes / Spec</t>
  </si>
  <si>
    <t>Unit Cost</t>
  </si>
  <si>
    <t>Cost (ex-GST)</t>
  </si>
  <si>
    <t>Comments</t>
  </si>
  <si>
    <t>A — GENERAL REQUIREMENTS</t>
  </si>
  <si>
    <t xml:space="preserve">   Plans &amp; Specifications</t>
  </si>
  <si>
    <t>Architect / Draftsman</t>
  </si>
  <si>
    <t xml:space="preserve">   BASIX / NatHERS</t>
  </si>
  <si>
    <t>Consultant</t>
  </si>
  <si>
    <t xml:space="preserve">   CDC Certifier Permits</t>
  </si>
  <si>
    <t>Certifier</t>
  </si>
  <si>
    <t xml:space="preserve">   Survey — Initial Peg-Out</t>
  </si>
  <si>
    <t>Surveyor</t>
  </si>
  <si>
    <t xml:space="preserve">   Engineering Fees</t>
  </si>
  <si>
    <t>Engineer</t>
  </si>
  <si>
    <t xml:space="preserve">   Long Service Levy</t>
  </si>
  <si>
    <t>NSW Building &amp; Construction</t>
  </si>
  <si>
    <t xml:space="preserve">   Council Fees / Impact Fee</t>
  </si>
  <si>
    <t>Council</t>
  </si>
  <si>
    <t xml:space="preserve">   Legal Fees</t>
  </si>
  <si>
    <t>Solicitor</t>
  </si>
  <si>
    <t>A — GENERAL REQUIREMENTS — SUBTOTAL</t>
  </si>
  <si>
    <t>B — SITE PREPARATION</t>
  </si>
  <si>
    <t xml:space="preserve">   Sydney Water Approval</t>
  </si>
  <si>
    <t>Sydney Water</t>
  </si>
  <si>
    <t xml:space="preserve">   Temporary Fence + Sediment Control</t>
  </si>
  <si>
    <t>Subbie</t>
  </si>
  <si>
    <t xml:space="preserve">   Excavation / Cut &amp; Fill</t>
  </si>
  <si>
    <t>Concretor</t>
  </si>
  <si>
    <t xml:space="preserve">   Termite Pipe Penetrations (x2)</t>
  </si>
  <si>
    <t>Pest Control</t>
  </si>
  <si>
    <t xml:space="preserve">   Soil Testing</t>
  </si>
  <si>
    <t>Geotechnical</t>
  </si>
  <si>
    <t xml:space="preserve">   Site Toilet</t>
  </si>
  <si>
    <t>Hire</t>
  </si>
  <si>
    <t>B — SITE PREPARATION — SUBTOTAL</t>
  </si>
  <si>
    <t>C — FOOTINGS &amp; SLAB</t>
  </si>
  <si>
    <t xml:space="preserve">   Piering &amp; Pouring</t>
  </si>
  <si>
    <t xml:space="preserve">   Drop Edge Beam (if applicable)</t>
  </si>
  <si>
    <t xml:space="preserve">   Steel Reinforcement</t>
  </si>
  <si>
    <t xml:space="preserve">   Concrete Slab (supply + pour)</t>
  </si>
  <si>
    <t xml:space="preserve">   Engineer + Certifier Inspections</t>
  </si>
  <si>
    <t>Engineer / Certifier</t>
  </si>
  <si>
    <t>C — FOOTINGS &amp; SLAB — SUBTOTAL</t>
  </si>
  <si>
    <t>D — FRAME &amp; ROOF</t>
  </si>
  <si>
    <t xml:space="preserve">   Frame (timber/steel)</t>
  </si>
  <si>
    <t>Frame Subbie</t>
  </si>
  <si>
    <t xml:space="preserve">   Steel Beams / Lintels</t>
  </si>
  <si>
    <t>Supplier</t>
  </si>
  <si>
    <t xml:space="preserve">   Roof Trusses</t>
  </si>
  <si>
    <t>Truss Supplier</t>
  </si>
  <si>
    <t xml:space="preserve">   Roofing (tile/metal) + flashing</t>
  </si>
  <si>
    <t>Roofer</t>
  </si>
  <si>
    <t xml:space="preserve">   Gutters &amp; Downpipes</t>
  </si>
  <si>
    <t xml:space="preserve">   Eaves Lining</t>
  </si>
  <si>
    <t>Carpenter</t>
  </si>
  <si>
    <t>D — FRAME &amp; ROOF — SUBTOTAL</t>
  </si>
  <si>
    <t>E — EXTERNAL ENVELOPE</t>
  </si>
  <si>
    <t xml:space="preserve">   Bricklayer (labour)</t>
  </si>
  <si>
    <t>Bricklayer</t>
  </si>
  <si>
    <t xml:space="preserve">   Common Brick / Face Brick (material)</t>
  </si>
  <si>
    <t xml:space="preserve">   Brick Layer Material — Sand/Cement/Ties</t>
  </si>
  <si>
    <t xml:space="preserve">   Brick Wash</t>
  </si>
  <si>
    <t xml:space="preserve">   Brick Joint Silicone + Window Angles</t>
  </si>
  <si>
    <t xml:space="preserve">   Windows (supply)</t>
  </si>
  <si>
    <t>Window Supplier</t>
  </si>
  <si>
    <t xml:space="preserve">   Window Glazing</t>
  </si>
  <si>
    <t>Glazier</t>
  </si>
  <si>
    <t xml:space="preserve">   External Doors + Locks</t>
  </si>
  <si>
    <t xml:space="preserve">   Garage Door (supply + install)</t>
  </si>
  <si>
    <t>Garage Door Co.</t>
  </si>
  <si>
    <t xml:space="preserve">   Rendering</t>
  </si>
  <si>
    <t>Renderer</t>
  </si>
  <si>
    <t xml:space="preserve">   Cladding (feature)</t>
  </si>
  <si>
    <t>Cladding Subbie</t>
  </si>
  <si>
    <t xml:space="preserve">   Facade Feature Allowance</t>
  </si>
  <si>
    <t>Allowance</t>
  </si>
  <si>
    <t xml:space="preserve">   Scaffolding</t>
  </si>
  <si>
    <t>Scaffolder</t>
  </si>
  <si>
    <t>E — EXTERNAL ENVELOPE — SUBTOTAL</t>
  </si>
  <si>
    <t>F — PLUMBING</t>
  </si>
  <si>
    <t xml:space="preserve">   Internal Plumbing — Underground</t>
  </si>
  <si>
    <t>Plumber</t>
  </si>
  <si>
    <t xml:space="preserve">   Stormwater Plumbing</t>
  </si>
  <si>
    <t xml:space="preserve">   Hot/Cold/Stack — Rough-In</t>
  </si>
  <si>
    <t xml:space="preserve">   Final Plumbing Fit-Out</t>
  </si>
  <si>
    <t xml:space="preserve">   Hot Water System (Gas/Electric)</t>
  </si>
  <si>
    <t xml:space="preserve">   Rainwater Tank (BASIX)</t>
  </si>
  <si>
    <t xml:space="preserve">   Gas Connection</t>
  </si>
  <si>
    <t>Jemena</t>
  </si>
  <si>
    <t>F — PLUMBING — SUBTOTAL</t>
  </si>
  <si>
    <t>G — ELECTRICAL</t>
  </si>
  <si>
    <t xml:space="preserve">   Electrical Rough-In</t>
  </si>
  <si>
    <t>Electrician</t>
  </si>
  <si>
    <t xml:space="preserve">   Level 2 / Connection (JS Data)</t>
  </si>
  <si>
    <t>Level 2 Electrician</t>
  </si>
  <si>
    <t xml:space="preserve">   Final Lighting Install</t>
  </si>
  <si>
    <t xml:space="preserve">   Smoke Alarms (certified)</t>
  </si>
  <si>
    <t xml:space="preserve">   Data / Camera Wiring</t>
  </si>
  <si>
    <t xml:space="preserve">   Solar / Battery (optional)</t>
  </si>
  <si>
    <t>G — ELECTRICAL — SUBTOTAL</t>
  </si>
  <si>
    <t>H — HVAC</t>
  </si>
  <si>
    <t xml:space="preserve">   Ducted / Split System AC</t>
  </si>
  <si>
    <t>HVAC Subbie</t>
  </si>
  <si>
    <t xml:space="preserve">   Bathroom / Laundry Exhausts</t>
  </si>
  <si>
    <t>H — HVAC — SUBTOTAL</t>
  </si>
  <si>
    <t>I — INTERNAL LININGS</t>
  </si>
  <si>
    <t xml:space="preserve">   Insulation (walls + ceiling)</t>
  </si>
  <si>
    <t>Insulation Subbie</t>
  </si>
  <si>
    <t xml:space="preserve">   Gyprock + Bulkhead</t>
  </si>
  <si>
    <t>Gyprocker</t>
  </si>
  <si>
    <t xml:space="preserve">   Cornice / Skirting / Architraves</t>
  </si>
  <si>
    <t xml:space="preserve">   Internal Doors + Hardware</t>
  </si>
  <si>
    <t xml:space="preserve">   Stairs (if applicable)</t>
  </si>
  <si>
    <t>Stair Maker</t>
  </si>
  <si>
    <t xml:space="preserve">   Wardrobes</t>
  </si>
  <si>
    <t>Joiner</t>
  </si>
  <si>
    <t xml:space="preserve">   Shower Screens</t>
  </si>
  <si>
    <t>I — INTERNAL LININGS — SUBTOTAL</t>
  </si>
  <si>
    <t>J — WATERPROOFING &amp; TILING</t>
  </si>
  <si>
    <t xml:space="preserve">   Waterproofing (AS3740)</t>
  </si>
  <si>
    <t>Waterproofer</t>
  </si>
  <si>
    <t xml:space="preserve">   Tiles (supply)</t>
  </si>
  <si>
    <t>Tile Supplier</t>
  </si>
  <si>
    <t xml:space="preserve">   Tiling (labour)</t>
  </si>
  <si>
    <t>Tiler</t>
  </si>
  <si>
    <t xml:space="preserve">   Sand &amp; Cement (tiling)</t>
  </si>
  <si>
    <t xml:space="preserve">   Tile Angles</t>
  </si>
  <si>
    <t>J — WATERPROOFING &amp; TILING — SUBTOTAL</t>
  </si>
  <si>
    <t>K — KITCHEN, BATH &amp; JOINERY</t>
  </si>
  <si>
    <t xml:space="preserve">   Kitchen Joinery</t>
  </si>
  <si>
    <t xml:space="preserve">   Kitchen &amp; Bath Stone</t>
  </si>
  <si>
    <t>Stone Supplier</t>
  </si>
  <si>
    <t xml:space="preserve">   Vanities + Cabinetry</t>
  </si>
  <si>
    <t xml:space="preserve">   Splashback</t>
  </si>
  <si>
    <t>K — KITCHEN, BATH &amp; JOINERY — SUBTOTAL</t>
  </si>
  <si>
    <t>L — PC ITEMS &amp; FIXTURES</t>
  </si>
  <si>
    <t xml:space="preserve">   PC Items Allowance (tapware/sinks/etc)</t>
  </si>
  <si>
    <t xml:space="preserve">   Light Fittings Allowance</t>
  </si>
  <si>
    <t xml:space="preserve">   Smart Door Locks (Samsung)</t>
  </si>
  <si>
    <t xml:space="preserve">   Appliances Allowance</t>
  </si>
  <si>
    <t>L — PC ITEMS &amp; FIXTURES — SUBTOTAL</t>
  </si>
  <si>
    <t>M — PAINTING &amp; DECORATING</t>
  </si>
  <si>
    <t xml:space="preserve">   Internal Painting</t>
  </si>
  <si>
    <t>Painter</t>
  </si>
  <si>
    <t xml:space="preserve">   External / Eaves Painting</t>
  </si>
  <si>
    <t xml:space="preserve">   Touch-Ups</t>
  </si>
  <si>
    <t>M — PAINTING &amp; DECORATING — SUBTOTAL</t>
  </si>
  <si>
    <t>N — EXTERNAL WORKS</t>
  </si>
  <si>
    <t xml:space="preserve">   Driveway (steel + concrete)</t>
  </si>
  <si>
    <t xml:space="preserve">   Council Driveway Inspection</t>
  </si>
  <si>
    <t xml:space="preserve">   Landscaping (allowance)</t>
  </si>
  <si>
    <t>Landscaper</t>
  </si>
  <si>
    <t xml:space="preserve">   Fencing (allowance)</t>
  </si>
  <si>
    <t>Fencer</t>
  </si>
  <si>
    <t xml:space="preserve">   Letterbox + Bins</t>
  </si>
  <si>
    <t xml:space="preserve">   Front Pillars / Feature Walls</t>
  </si>
  <si>
    <t xml:space="preserve">   Pool (if applicable)</t>
  </si>
  <si>
    <t>Pool Builder</t>
  </si>
  <si>
    <t>N — EXTERNAL WORKS — SUBTOTAL</t>
  </si>
  <si>
    <t>O — COMPLETION &amp; HANDOVER</t>
  </si>
  <si>
    <t xml:space="preserve">   Final Survey (as-built)</t>
  </si>
  <si>
    <t xml:space="preserve">   Cleaner (final)</t>
  </si>
  <si>
    <t>Cleaner</t>
  </si>
  <si>
    <t xml:space="preserve">   Skip / Waste Removal</t>
  </si>
  <si>
    <t>Skip Hire</t>
  </si>
  <si>
    <t xml:space="preserve">   Build Progress Photography</t>
  </si>
  <si>
    <t>In-house</t>
  </si>
  <si>
    <t xml:space="preserve">   Marketing Allocation</t>
  </si>
  <si>
    <t>Royal Constructions</t>
  </si>
  <si>
    <t xml:space="preserve">   Silicone (final)</t>
  </si>
  <si>
    <t xml:space="preserve">   Misc / Bunnings</t>
  </si>
  <si>
    <t xml:space="preserve">   Temporary Site Camera</t>
  </si>
  <si>
    <t>O — COMPLETION &amp; HANDOVER — SUBTOTAL</t>
  </si>
  <si>
    <t>TOTAL CONTRACT BUILD-UP</t>
  </si>
  <si>
    <t>TOTAL DIRECT COST (subbies + materials, ex-GST)</t>
  </si>
  <si>
    <t>HBCF Insurance (approx — confirm exact)</t>
  </si>
  <si>
    <t>Contingency</t>
  </si>
  <si>
    <t>TOTAL COST BASE (cost + HBCF + admin + PM + contingency)</t>
  </si>
  <si>
    <t>Builder Margin (applied to FULL cost base)</t>
  </si>
  <si>
    <t>SUBTOTAL (ex-GST)</t>
  </si>
  <si>
    <t>Per m² (inc GST)</t>
  </si>
  <si>
    <t>ALLOWANCES &amp; EXCLUSIONS</t>
  </si>
  <si>
    <t>Clear scope = no client disputes. Be specific. Any item not listed is excluded.</t>
  </si>
  <si>
    <t>PRIME COST (PC) ALLOWANCES INCLUDED</t>
  </si>
  <si>
    <t>Tapware &amp; sinks</t>
  </si>
  <si>
    <t>$3,000</t>
  </si>
  <si>
    <t>Standard mid-range. Premium ranges priced as variation.</t>
  </si>
  <si>
    <t>Light fittings</t>
  </si>
  <si>
    <t>Standard fittings. Pendants/chandeliers priced as variation.</t>
  </si>
  <si>
    <t>Tiles — bathroom + laundry</t>
  </si>
  <si>
    <t>$70/m²</t>
  </si>
  <si>
    <t>Up to PC value. Above = variation.</t>
  </si>
  <si>
    <t>Kitchen appliances</t>
  </si>
  <si>
    <t>$8,000</t>
  </si>
  <si>
    <t>Cooktop, oven, range hood, dishwasher. Brand sub-allowance.</t>
  </si>
  <si>
    <t>Door hardware</t>
  </si>
  <si>
    <t>$1,000</t>
  </si>
  <si>
    <t>Standard handles. Smart locks separate.</t>
  </si>
  <si>
    <t>Floor finishes (timber/carpet)</t>
  </si>
  <si>
    <t>$130/m²</t>
  </si>
  <si>
    <t>Choice from supplier range.</t>
  </si>
  <si>
    <t>Stone benchtops</t>
  </si>
  <si>
    <t>$9,000</t>
  </si>
  <si>
    <t>Kitchen + bathrooms. Engineered stone.</t>
  </si>
  <si>
    <t>EXCLUSIONS — NOT IN THIS CONTRACT</t>
  </si>
  <si>
    <t xml:space="preserve">   •  Landscaping &amp; turf beyond driveway</t>
  </si>
  <si>
    <t xml:space="preserve">   •  Pool, spa, water features</t>
  </si>
  <si>
    <t xml:space="preserve">   •  Fencing beyond front fence (allowance noted)</t>
  </si>
  <si>
    <t xml:space="preserve">   •  Letterbox upgrades beyond standard</t>
  </si>
  <si>
    <t xml:space="preserve">   •  Custom curtains, blinds, window furnishings</t>
  </si>
  <si>
    <t xml:space="preserve">   •  Furniture, appliances beyond PC allowance</t>
  </si>
  <si>
    <t xml:space="preserve">   •  Solar / battery / EV charger (priced separately)</t>
  </si>
  <si>
    <t xml:space="preserve">   •  Smart home automation beyond door locks</t>
  </si>
  <si>
    <t xml:space="preserve">   •  Site costs beyond standard — additional fill, rock excavation, retaining walls</t>
  </si>
  <si>
    <t xml:space="preserve">   •  Variations to council-approved plans (priced as variations)</t>
  </si>
  <si>
    <t>MARGIN ANALYSIS</t>
  </si>
  <si>
    <t>Is this job profitable? Diagnostic against margin floor and target.</t>
  </si>
  <si>
    <t>Contract Value (inc GST)</t>
  </si>
  <si>
    <t>From QUOTE</t>
  </si>
  <si>
    <t>Gross Margin ($)</t>
  </si>
  <si>
    <t>Profit before overheads</t>
  </si>
  <si>
    <t>Gross Margin (%)</t>
  </si>
  <si>
    <t>Target 15-20%</t>
  </si>
  <si>
    <t>Minimum Acceptable</t>
  </si>
  <si>
    <t>Below this — REPRICE or PASS</t>
  </si>
  <si>
    <t>Target Margin</t>
  </si>
  <si>
    <t>What we aim for on quotes</t>
  </si>
  <si>
    <t>Margin Status</t>
  </si>
  <si>
    <t>Auto-diagnosis</t>
  </si>
  <si>
    <t>QUOTE SETTINGS</t>
  </si>
  <si>
    <t>Change values in this sheet — the entire quote will recalculate.</t>
  </si>
  <si>
    <t>Target Builder Margin %</t>
  </si>
  <si>
    <t>Applied to FULL cost base (incl HBCF, admin, PM). Target 15–20% gross to net 12–15%.</t>
  </si>
  <si>
    <t>Minimum Acceptable Margin %</t>
  </si>
  <si>
    <t>Below this, the cell turns red. Either reprice or don't take the job.</t>
  </si>
  <si>
    <t>GST Rate</t>
  </si>
  <si>
    <t>Standard NSW residential GST.</t>
  </si>
  <si>
    <t>HBCF Insurance Rate (approx)</t>
  </si>
  <si>
    <t>HBCF premium ~1.0-1.5% of contract. Confirm exact from iCare.</t>
  </si>
  <si>
    <t>Admin Cost Fixed</t>
  </si>
  <si>
    <t>Office allocation per job.</t>
  </si>
  <si>
    <t>Project Management Cost</t>
  </si>
  <si>
    <t>Site supervision + builder labour allocation.</t>
  </si>
  <si>
    <t>Contingency %</t>
  </si>
  <si>
    <t>Set to zero if no contingency built in. 2.5% is healthy.</t>
  </si>
  <si>
    <t>HOW TO USE THIS TEMPLATE</t>
  </si>
  <si>
    <t>STEP 1 — Fill out COVER</t>
  </si>
  <si>
    <t>Enter client + site details + building area (m²).</t>
  </si>
  <si>
    <t>STEP 2 — Set margin in SETTINGS</t>
  </si>
  <si>
    <t>Default target 20%. Minimum 12%. Adjust per market.</t>
  </si>
  <si>
    <t>STEP 3 — Cost the QUOTE sheet</t>
  </si>
  <si>
    <t>Enter cost figures in Column E (blue text). Don't touch other columns — formulas.</t>
  </si>
  <si>
    <t>STEP 4 — Confirm allowances</t>
  </si>
  <si>
    <t>Review ALLOWANCES sheet. Adjust PC items + exclusions to match scope.</t>
  </si>
  <si>
    <t>STEP 5 — Check MARGIN ANALYSIS</t>
  </si>
  <si>
    <t>Status cell tells you if the price hits target. Red = reprice or pass.</t>
  </si>
  <si>
    <t>STEP 6 — Save As — RC-Q-[YYYY]-[###] — [Client Surname]</t>
  </si>
  <si>
    <t>Filename convention. Keeps the master template untouched.</t>
  </si>
  <si>
    <t>STEP 7 — Export to PDF for tender</t>
  </si>
  <si>
    <t>Use COVER + ALLOWANCES sheets only when sending to client. Don't share QUOTE internals.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</si>
</sst>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&quot; m²&quot;"/>
    <numFmt numFmtId="165" formatCode="\$#,##0;&quot;($&quot;#,##0\);\-"/>
    <numFmt numFmtId="166" formatCode="\$#,##0.00&quot; /m²&quot;"/>
    <numFmt numFmtId="167" formatCode="0.0%"/>
    <numFmt numFmtId="168" formatCode="\$#,##0.00;&quot;($&quot;#,##0.00\);\-"/>
    <numFmt numFmtId="169" formatCode="\$#,##0"/>
  </numFmts>
  <fonts count="16" x14ac:knownFonts="1">
    <font>
      <sz val="11"/>
      <color theme="1"/>
      <name val="Calibri"/>
      <family val="2"/>
      <charset val="1"/>
    </font>
    <font>
      <b/>
      <sz val="22"/>
      <color rgb="FFFFFFFF"/>
      <name val="Arial"/>
      <family val="2"/>
    </font>
    <font>
      <b/>
      <sz val="14"/>
      <color rgb="FF1F2937"/>
      <name val="Arial"/>
      <family val="2"/>
    </font>
    <font>
      <i/>
      <sz val="10"/>
      <color rgb="FF9CA3AF"/>
      <name val="Arial"/>
      <family val="2"/>
    </font>
    <font>
      <b/>
      <sz val="10"/>
      <color rgb="FF1F2937"/>
      <name val="Arial"/>
      <family val="2"/>
    </font>
    <font>
      <sz val="10"/>
      <color rgb="FF1F2937"/>
      <name val="Arial"/>
      <family val="2"/>
    </font>
    <font>
      <b/>
      <sz val="11"/>
      <color rgb="FFFFFFFF"/>
      <name val="Arial"/>
      <family val="2"/>
    </font>
    <font>
      <b/>
      <sz val="11"/>
      <color rgb="FFB91C1C"/>
      <name val="Arial"/>
      <family val="2"/>
    </font>
    <font>
      <b/>
      <sz val="14"/>
      <color rgb="FFFFFFFF"/>
      <name val="Arial"/>
      <family val="2"/>
    </font>
    <font>
      <i/>
      <sz val="9"/>
      <color rgb="FF9CA3AF"/>
      <name val="Arial"/>
      <family val="2"/>
    </font>
    <font>
      <sz val="10"/>
      <color rgb="FF2563EB"/>
      <name val="Arial"/>
      <family val="2"/>
    </font>
    <font>
      <b/>
      <sz val="10"/>
      <color rgb="FF2563EB"/>
      <name val="Arial"/>
      <family val="2"/>
    </font>
    <font>
      <b/>
      <i/>
      <sz val="10"/>
      <color rgb="FF1F2937"/>
      <name val="Arial"/>
      <family val="2"/>
    </font>
    <font>
      <b/>
      <sz val="12"/>
      <color rgb="FFFFFFFF"/>
      <name val="Arial"/>
      <family val="2"/>
    </font>
    <font>
      <b/>
      <sz val="11"/>
      <color rgb="FF1F2937"/>
      <name val="Arial"/>
      <family val="2"/>
    </font>
    <font>
      <i/>
      <sz val="10"/>
      <color rgb="FF1F2937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5E6C4"/>
        <bgColor rgb="FFFEF3C7"/>
      </patternFill>
    </fill>
    <fill>
      <patternFill patternType="solid">
        <fgColor rgb="FFFAF1DC"/>
        <bgColor rgb="FFFEF3C7"/>
      </patternFill>
    </fill>
    <fill>
      <patternFill patternType="solid">
        <fgColor rgb="FFFFFFFF"/>
        <bgColor rgb="FFFBF7EE"/>
      </patternFill>
    </fill>
    <fill>
      <patternFill patternType="solid">
        <fgColor rgb="FFF3F4F6"/>
        <bgColor rgb="FFFBF7EE"/>
      </patternFill>
    </fill>
    <fill>
      <patternFill patternType="solid">
        <fgColor rgb="FFC9A24B"/>
        <bgColor rgb="FF9CA3AF"/>
      </patternFill>
    </fill>
    <fill>
      <patternFill patternType="solid">
        <fgColor rgb="FFFBF7EE"/>
        <bgColor rgb="FFF3F4F6"/>
      </patternFill>
    </fill>
    <fill>
      <patternFill patternType="solid">
        <fgColor rgb="FFB91C1C"/>
        <bgColor rgb="FF993366"/>
      </patternFill>
    </fill>
    <fill>
      <patternFill patternType="solid">
        <fgColor rgb="FFFDE2E2"/>
        <bgColor rgb="FFF5E6C4"/>
      </patternFill>
    </fill>
  </fills>
  <borders count="3">
    <border>
      <left/>
      <right/>
      <top/>
      <bottom/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6">
    <xf numFmtId="0" fontId="0" fillId="0" borderId="0" xfId="0"/>
    <xf numFmtId="167" fontId="5" fillId="5" borderId="2" xfId="0" applyNumberFormat="1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left" vertical="center" indent="1"/>
    </xf>
    <xf numFmtId="166" fontId="5" fillId="5" borderId="2" xfId="0" applyNumberFormat="1" applyFont="1" applyFill="1" applyBorder="1" applyAlignment="1">
      <alignment horizontal="right" vertical="center"/>
    </xf>
    <xf numFmtId="165" fontId="7" fillId="3" borderId="2" xfId="0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left" vertical="center" indent="1"/>
    </xf>
    <xf numFmtId="165" fontId="5" fillId="5" borderId="2" xfId="0" applyNumberFormat="1" applyFont="1" applyFill="1" applyBorder="1" applyAlignment="1">
      <alignment horizontal="right" vertical="center"/>
    </xf>
    <xf numFmtId="0" fontId="4" fillId="6" borderId="2" xfId="0" applyFont="1" applyFill="1" applyBorder="1" applyAlignment="1">
      <alignment horizontal="left" vertical="center" indent="1"/>
    </xf>
    <xf numFmtId="0" fontId="6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3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left" vertical="center" indent="1"/>
    </xf>
    <xf numFmtId="164" fontId="5" fillId="5" borderId="2" xfId="0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left" vertical="center" indent="1"/>
    </xf>
    <xf numFmtId="164" fontId="4" fillId="3" borderId="2" xfId="0" applyNumberFormat="1" applyFont="1" applyFill="1" applyBorder="1" applyAlignment="1">
      <alignment horizontal="right" vertical="center"/>
    </xf>
    <xf numFmtId="165" fontId="5" fillId="5" borderId="2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left" vertical="center" indent="1"/>
    </xf>
    <xf numFmtId="167" fontId="5" fillId="5" borderId="2" xfId="0" applyNumberFormat="1" applyFont="1" applyFill="1" applyBorder="1" applyAlignment="1">
      <alignment horizontal="right" vertical="center"/>
    </xf>
    <xf numFmtId="0" fontId="6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left" vertical="center" indent="2"/>
    </xf>
    <xf numFmtId="0" fontId="5" fillId="5" borderId="2" xfId="0" applyFont="1" applyFill="1" applyBorder="1" applyAlignment="1">
      <alignment horizontal="left" vertical="center"/>
    </xf>
    <xf numFmtId="0" fontId="9" fillId="5" borderId="2" xfId="0" applyFont="1" applyFill="1" applyBorder="1" applyAlignment="1">
      <alignment horizontal="left" vertical="center"/>
    </xf>
    <xf numFmtId="165" fontId="10" fillId="5" borderId="2" xfId="0" applyNumberFormat="1" applyFont="1" applyFill="1" applyBorder="1" applyAlignment="1">
      <alignment horizontal="right" vertical="center"/>
    </xf>
    <xf numFmtId="165" fontId="11" fillId="5" borderId="2" xfId="0" applyNumberFormat="1" applyFont="1" applyFill="1" applyBorder="1" applyAlignment="1">
      <alignment horizontal="right" vertical="center"/>
    </xf>
    <xf numFmtId="165" fontId="4" fillId="3" borderId="2" xfId="0" applyNumberFormat="1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left" vertical="center"/>
    </xf>
    <xf numFmtId="165" fontId="14" fillId="6" borderId="2" xfId="0" applyNumberFormat="1" applyFont="1" applyFill="1" applyBorder="1" applyAlignment="1">
      <alignment horizontal="right" vertical="center"/>
    </xf>
    <xf numFmtId="0" fontId="0" fillId="6" borderId="0" xfId="0" applyFill="1"/>
    <xf numFmtId="0" fontId="0" fillId="5" borderId="0" xfId="0" applyFill="1"/>
    <xf numFmtId="165" fontId="5" fillId="4" borderId="2" xfId="0" applyNumberFormat="1" applyFont="1" applyFill="1" applyBorder="1" applyAlignment="1">
      <alignment horizontal="right" vertical="center"/>
    </xf>
    <xf numFmtId="0" fontId="0" fillId="4" borderId="0" xfId="0" applyFill="1"/>
    <xf numFmtId="165" fontId="14" fillId="3" borderId="2" xfId="0" applyNumberFormat="1" applyFont="1" applyFill="1" applyBorder="1" applyAlignment="1">
      <alignment horizontal="right" vertical="center"/>
    </xf>
    <xf numFmtId="0" fontId="0" fillId="3" borderId="0" xfId="0" applyFill="1"/>
    <xf numFmtId="168" fontId="14" fillId="7" borderId="2" xfId="0" applyNumberFormat="1" applyFont="1" applyFill="1" applyBorder="1" applyAlignment="1">
      <alignment horizontal="right" vertical="center"/>
    </xf>
    <xf numFmtId="0" fontId="0" fillId="7" borderId="0" xfId="0" applyFill="1"/>
    <xf numFmtId="166" fontId="5" fillId="4" borderId="2" xfId="0" applyNumberFormat="1" applyFont="1" applyFill="1" applyBorder="1" applyAlignment="1">
      <alignment horizontal="right" vertical="center"/>
    </xf>
    <xf numFmtId="167" fontId="14" fillId="4" borderId="2" xfId="0" applyNumberFormat="1" applyFont="1" applyFill="1" applyBorder="1" applyAlignment="1">
      <alignment horizontal="right" vertical="center"/>
    </xf>
    <xf numFmtId="0" fontId="11" fillId="5" borderId="2" xfId="0" applyFont="1" applyFill="1" applyBorder="1" applyAlignment="1">
      <alignment horizontal="right" vertical="center"/>
    </xf>
    <xf numFmtId="0" fontId="9" fillId="5" borderId="2" xfId="0" applyFont="1" applyFill="1" applyBorder="1" applyAlignment="1">
      <alignment horizontal="left" vertical="center" wrapText="1"/>
    </xf>
    <xf numFmtId="169" fontId="4" fillId="3" borderId="2" xfId="0" applyNumberFormat="1" applyFont="1" applyFill="1" applyBorder="1" applyAlignment="1">
      <alignment horizontal="right" vertical="center"/>
    </xf>
    <xf numFmtId="0" fontId="9" fillId="8" borderId="2" xfId="0" applyFont="1" applyFill="1" applyBorder="1" applyAlignment="1">
      <alignment horizontal="left" vertical="center" wrapText="1" indent="1"/>
    </xf>
    <xf numFmtId="169" fontId="5" fillId="5" borderId="2" xfId="0" applyNumberFormat="1" applyFont="1" applyFill="1" applyBorder="1" applyAlignment="1">
      <alignment horizontal="right" vertical="center"/>
    </xf>
    <xf numFmtId="167" fontId="4" fillId="3" borderId="2" xfId="0" applyNumberFormat="1" applyFont="1" applyFill="1" applyBorder="1" applyAlignment="1">
      <alignment horizontal="right" vertical="center"/>
    </xf>
    <xf numFmtId="49" fontId="4" fillId="3" borderId="2" xfId="0" applyNumberFormat="1" applyFont="1" applyFill="1" applyBorder="1" applyAlignment="1">
      <alignment horizontal="right" vertical="center"/>
    </xf>
    <xf numFmtId="167" fontId="11" fillId="5" borderId="2" xfId="0" applyNumberFormat="1" applyFont="1" applyFill="1" applyBorder="1" applyAlignment="1">
      <alignment horizontal="right" vertical="center"/>
    </xf>
    <xf numFmtId="10" fontId="11" fillId="5" borderId="2" xfId="0" applyNumberFormat="1" applyFont="1" applyFill="1" applyBorder="1" applyAlignment="1">
      <alignment horizontal="right" vertical="center"/>
    </xf>
    <xf numFmtId="169" fontId="11" fillId="5" borderId="2" xfId="0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left" vertical="center" wrapText="1" indent="1"/>
    </xf>
    <xf numFmtId="0" fontId="15" fillId="5" borderId="2" xfId="0" applyFont="1" applyFill="1" applyBorder="1" applyAlignment="1">
      <alignment horizontal="left" vertical="center" wrapText="1" indent="1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 indent="1"/>
    </xf>
    <xf numFmtId="0" fontId="12" fillId="3" borderId="1" xfId="0" applyFont="1" applyFill="1" applyBorder="1" applyAlignment="1">
      <alignment horizontal="right" vertical="center" indent="1"/>
    </xf>
    <xf numFmtId="0" fontId="13" fillId="2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right" vertical="center" indent="1"/>
    </xf>
    <xf numFmtId="0" fontId="5" fillId="5" borderId="1" xfId="0" applyFont="1" applyFill="1" applyBorder="1" applyAlignment="1">
      <alignment horizontal="right" vertical="center" indent="1"/>
    </xf>
    <xf numFmtId="0" fontId="5" fillId="4" borderId="1" xfId="0" applyFont="1" applyFill="1" applyBorder="1" applyAlignment="1">
      <alignment horizontal="right" vertical="center" indent="1"/>
    </xf>
    <xf numFmtId="0" fontId="4" fillId="3" borderId="1" xfId="0" applyFont="1" applyFill="1" applyBorder="1" applyAlignment="1">
      <alignment horizontal="right" vertical="center" indent="1"/>
    </xf>
    <xf numFmtId="0" fontId="4" fillId="7" borderId="1" xfId="0" applyFont="1" applyFill="1" applyBorder="1" applyAlignment="1">
      <alignment horizontal="right" vertical="center" indent="1"/>
    </xf>
    <xf numFmtId="0" fontId="4" fillId="4" borderId="1" xfId="0" applyFont="1" applyFill="1" applyBorder="1" applyAlignment="1">
      <alignment horizontal="right" vertical="center" indent="1"/>
    </xf>
    <xf numFmtId="0" fontId="6" fillId="7" borderId="0" xfId="0" applyFont="1" applyFill="1" applyAlignment="1">
      <alignment horizontal="left" vertical="center" indent="1"/>
    </xf>
    <xf numFmtId="0" fontId="6" fillId="9" borderId="0" xfId="0" applyFont="1" applyFill="1" applyAlignment="1">
      <alignment horizontal="left" vertical="center" indent="1"/>
    </xf>
    <xf numFmtId="0" fontId="5" fillId="10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5">
    <dxf>
      <font>
        <b/>
        <sz val="11"/>
        <color rgb="FFB91C1C"/>
        <name val="Arial"/>
        <charset val="1"/>
      </font>
      <fill>
        <patternFill>
          <bgColor rgb="FFFDE2E2"/>
        </patternFill>
      </fill>
    </dxf>
    <dxf>
      <font>
        <b/>
        <sz val="11"/>
        <color rgb="FF92400E"/>
        <name val="Arial"/>
        <charset val="1"/>
      </font>
      <fill>
        <patternFill>
          <bgColor rgb="FFFEF3C7"/>
        </patternFill>
      </fill>
    </dxf>
    <dxf>
      <font>
        <b/>
        <sz val="11"/>
        <color rgb="FF047857"/>
        <name val="Arial"/>
        <charset val="1"/>
      </font>
      <fill>
        <patternFill>
          <bgColor rgb="FFD4F1DC"/>
        </patternFill>
      </fill>
    </dxf>
    <dxf>
      <font>
        <b/>
        <sz val="11"/>
        <color rgb="FF047857"/>
        <name val="Arial"/>
        <charset val="1"/>
      </font>
      <fill>
        <patternFill>
          <bgColor rgb="FFD4F1DC"/>
        </patternFill>
      </fill>
    </dxf>
    <dxf>
      <font>
        <b/>
        <sz val="11"/>
        <color rgb="FFB91C1C"/>
        <name val="Arial"/>
        <charset val="1"/>
      </font>
      <fill>
        <patternFill>
          <bgColor rgb="FFFDE2E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FAF1DC"/>
      <rgbColor rgb="FF808080"/>
      <rgbColor rgb="FF9999FF"/>
      <rgbColor rgb="FFB91C1C"/>
      <rgbColor rgb="FFFEF3C7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F7EE"/>
      <rgbColor rgb="FFD4F1DC"/>
      <rgbColor rgb="FFF5E6C4"/>
      <rgbColor rgb="FF99CCFF"/>
      <rgbColor rgb="FFFF99CC"/>
      <rgbColor rgb="FFCC99FF"/>
      <rgbColor rgb="FFFDE2E2"/>
      <rgbColor rgb="FF2563EB"/>
      <rgbColor rgb="FF33CCCC"/>
      <rgbColor rgb="FF99CC00"/>
      <rgbColor rgb="FFFFCC00"/>
      <rgbColor rgb="FFC9A24B"/>
      <rgbColor rgb="FFFF6600"/>
      <rgbColor rgb="FF666699"/>
      <rgbColor rgb="FF9CA3AF"/>
      <rgbColor rgb="FF003366"/>
      <rgbColor rgb="FF339966"/>
      <rgbColor rgb="FF003300"/>
      <rgbColor rgb="FF333300"/>
      <rgbColor rgb="FF92400E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opLeftCell="A15" zoomScaleNormal="100" workbookViewId="0">
      <selection activeCell="E31" sqref="E31:F31"/>
    </sheetView>
  </sheetViews>
  <sheetFormatPr baseColWidth="10" defaultColWidth="8.6640625" defaultRowHeight="15" x14ac:dyDescent="0.2"/>
  <cols>
    <col min="1" max="1" width="26" customWidth="1"/>
    <col min="2" max="2" width="16" customWidth="1"/>
    <col min="3" max="4" width="14" customWidth="1"/>
    <col min="5" max="5" width="20" customWidth="1"/>
    <col min="6" max="6" width="14" customWidth="1"/>
  </cols>
  <sheetData>
    <row r="1" spans="1:6" ht="27.75" customHeight="1" x14ac:dyDescent="0.2">
      <c r="A1" s="14" t="s">
        <v>0</v>
      </c>
      <c r="B1" s="14"/>
      <c r="C1" s="14"/>
      <c r="D1" s="14"/>
      <c r="E1" s="14"/>
      <c r="F1" s="14"/>
    </row>
    <row r="2" spans="1:6" ht="27.75" customHeight="1" x14ac:dyDescent="0.2">
      <c r="A2" s="14"/>
      <c r="B2" s="14"/>
      <c r="C2" s="14"/>
      <c r="D2" s="14"/>
      <c r="E2" s="14"/>
      <c r="F2" s="14"/>
    </row>
    <row r="3" spans="1:6" ht="24" customHeight="1" x14ac:dyDescent="0.2">
      <c r="A3" s="13" t="s">
        <v>1</v>
      </c>
      <c r="B3" s="13"/>
      <c r="C3" s="13"/>
      <c r="D3" s="13"/>
      <c r="E3" s="13"/>
      <c r="F3" s="13"/>
    </row>
    <row r="4" spans="1:6" ht="18" customHeight="1" x14ac:dyDescent="0.2">
      <c r="A4" s="12" t="s">
        <v>2</v>
      </c>
      <c r="B4" s="12"/>
      <c r="C4" s="12"/>
      <c r="D4" s="12"/>
      <c r="E4" s="12"/>
      <c r="F4" s="12"/>
    </row>
    <row r="6" spans="1:6" ht="21.75" customHeight="1" x14ac:dyDescent="0.2">
      <c r="A6" s="11" t="s">
        <v>3</v>
      </c>
      <c r="B6" s="11"/>
      <c r="C6" s="10" t="s">
        <v>4</v>
      </c>
      <c r="D6" s="10"/>
      <c r="E6" s="10"/>
      <c r="F6" s="10"/>
    </row>
    <row r="7" spans="1:6" ht="21.75" customHeight="1" x14ac:dyDescent="0.2">
      <c r="A7" s="11" t="s">
        <v>5</v>
      </c>
      <c r="B7" s="11"/>
      <c r="C7" s="10" t="s">
        <v>6</v>
      </c>
      <c r="D7" s="10"/>
      <c r="E7" s="10"/>
      <c r="F7" s="10"/>
    </row>
    <row r="8" spans="1:6" ht="21.75" customHeight="1" x14ac:dyDescent="0.2">
      <c r="A8" s="11" t="s">
        <v>7</v>
      </c>
      <c r="B8" s="11"/>
      <c r="C8" s="10" t="s">
        <v>8</v>
      </c>
      <c r="D8" s="10"/>
      <c r="E8" s="10"/>
      <c r="F8" s="10"/>
    </row>
    <row r="9" spans="1:6" ht="21.75" customHeight="1" x14ac:dyDescent="0.2">
      <c r="A9" s="11" t="s">
        <v>9</v>
      </c>
      <c r="B9" s="11"/>
      <c r="C9" s="10" t="s">
        <v>10</v>
      </c>
      <c r="D9" s="10"/>
      <c r="E9" s="10"/>
      <c r="F9" s="10"/>
    </row>
    <row r="10" spans="1:6" ht="21.75" customHeight="1" x14ac:dyDescent="0.2">
      <c r="A10" s="11" t="s">
        <v>11</v>
      </c>
      <c r="B10" s="11"/>
      <c r="C10" s="10" t="s">
        <v>12</v>
      </c>
      <c r="D10" s="10"/>
      <c r="E10" s="10"/>
      <c r="F10" s="10"/>
    </row>
    <row r="11" spans="1:6" ht="21.75" customHeight="1" x14ac:dyDescent="0.2">
      <c r="A11" s="11" t="s">
        <v>13</v>
      </c>
      <c r="B11" s="11"/>
      <c r="C11" s="10" t="s">
        <v>14</v>
      </c>
      <c r="D11" s="10"/>
      <c r="E11" s="10"/>
      <c r="F11" s="10"/>
    </row>
    <row r="12" spans="1:6" ht="21.75" customHeight="1" x14ac:dyDescent="0.2">
      <c r="A12" s="11" t="s">
        <v>15</v>
      </c>
      <c r="B12" s="11"/>
      <c r="C12" s="10" t="s">
        <v>16</v>
      </c>
      <c r="D12" s="10"/>
      <c r="E12" s="10"/>
      <c r="F12" s="10"/>
    </row>
    <row r="13" spans="1:6" ht="21.75" customHeight="1" x14ac:dyDescent="0.2">
      <c r="A13" s="11" t="s">
        <v>17</v>
      </c>
      <c r="B13" s="11"/>
      <c r="C13" s="10" t="s">
        <v>18</v>
      </c>
      <c r="D13" s="10"/>
      <c r="E13" s="10"/>
      <c r="F13" s="10"/>
    </row>
    <row r="14" spans="1:6" ht="21.75" customHeight="1" x14ac:dyDescent="0.2">
      <c r="A14" s="11" t="s">
        <v>19</v>
      </c>
      <c r="B14" s="11"/>
      <c r="C14" s="10" t="s">
        <v>20</v>
      </c>
      <c r="D14" s="10"/>
      <c r="E14" s="10"/>
      <c r="F14" s="10"/>
    </row>
    <row r="15" spans="1:6" ht="21.75" customHeight="1" x14ac:dyDescent="0.2">
      <c r="A15" s="11" t="s">
        <v>21</v>
      </c>
      <c r="B15" s="11"/>
      <c r="C15" s="10" t="s">
        <v>22</v>
      </c>
      <c r="D15" s="10"/>
      <c r="E15" s="10"/>
      <c r="F15" s="10"/>
    </row>
    <row r="17" spans="1:6" ht="21.75" customHeight="1" x14ac:dyDescent="0.2">
      <c r="A17" s="9" t="s">
        <v>23</v>
      </c>
      <c r="B17" s="9"/>
      <c r="C17" s="9"/>
      <c r="D17" s="9"/>
      <c r="E17" s="9"/>
      <c r="F17" s="9"/>
    </row>
    <row r="18" spans="1:6" x14ac:dyDescent="0.2">
      <c r="A18" s="15" t="s">
        <v>24</v>
      </c>
      <c r="B18" s="16">
        <v>0</v>
      </c>
    </row>
    <row r="19" spans="1:6" x14ac:dyDescent="0.2">
      <c r="A19" s="15" t="s">
        <v>25</v>
      </c>
      <c r="B19" s="16">
        <v>0</v>
      </c>
    </row>
    <row r="20" spans="1:6" x14ac:dyDescent="0.2">
      <c r="A20" s="15" t="s">
        <v>26</v>
      </c>
      <c r="B20" s="16">
        <v>0</v>
      </c>
    </row>
    <row r="21" spans="1:6" x14ac:dyDescent="0.2">
      <c r="A21" s="15" t="s">
        <v>27</v>
      </c>
      <c r="B21" s="16">
        <v>0</v>
      </c>
    </row>
    <row r="22" spans="1:6" x14ac:dyDescent="0.2">
      <c r="A22" s="15" t="s">
        <v>28</v>
      </c>
      <c r="B22" s="16">
        <v>0</v>
      </c>
    </row>
    <row r="23" spans="1:6" x14ac:dyDescent="0.2">
      <c r="A23" s="17" t="s">
        <v>29</v>
      </c>
      <c r="B23" s="18">
        <f>SUM(B18:B22)</f>
        <v>0</v>
      </c>
    </row>
    <row r="25" spans="1:6" ht="21.75" customHeight="1" x14ac:dyDescent="0.2">
      <c r="A25" s="9" t="s">
        <v>30</v>
      </c>
      <c r="B25" s="9"/>
      <c r="C25" s="9"/>
      <c r="D25" s="9"/>
      <c r="E25" s="9"/>
      <c r="F25" s="9"/>
    </row>
    <row r="26" spans="1:6" ht="19.5" customHeight="1" x14ac:dyDescent="0.2">
      <c r="A26" s="8" t="s">
        <v>31</v>
      </c>
      <c r="B26" s="8"/>
      <c r="C26" s="8"/>
      <c r="D26" s="8"/>
      <c r="E26" s="7">
        <f>DIRECT_TOTAL</f>
        <v>0</v>
      </c>
      <c r="F26" s="7"/>
    </row>
    <row r="27" spans="1:6" ht="19.5" customHeight="1" x14ac:dyDescent="0.2">
      <c r="A27" s="6" t="s">
        <v>32</v>
      </c>
      <c r="B27" s="6"/>
      <c r="C27" s="6"/>
      <c r="D27" s="6"/>
      <c r="E27" s="7">
        <f>E_HBCF</f>
        <v>0</v>
      </c>
      <c r="F27" s="7"/>
    </row>
    <row r="28" spans="1:6" ht="19.5" customHeight="1" x14ac:dyDescent="0.2">
      <c r="A28" s="6" t="s">
        <v>33</v>
      </c>
      <c r="B28" s="6"/>
      <c r="C28" s="6"/>
      <c r="D28" s="6"/>
      <c r="E28" s="7">
        <f>E_ADMIN</f>
        <v>5000</v>
      </c>
      <c r="F28" s="7"/>
    </row>
    <row r="29" spans="1:6" ht="19.5" customHeight="1" x14ac:dyDescent="0.2">
      <c r="A29" s="6" t="s">
        <v>34</v>
      </c>
      <c r="B29" s="6"/>
      <c r="C29" s="6"/>
      <c r="D29" s="6"/>
      <c r="E29" s="7">
        <f>E_PM</f>
        <v>10000</v>
      </c>
      <c r="F29" s="7"/>
    </row>
    <row r="30" spans="1:6" ht="19.5" customHeight="1" x14ac:dyDescent="0.2">
      <c r="A30" s="8" t="s">
        <v>35</v>
      </c>
      <c r="B30" s="8"/>
      <c r="C30" s="8"/>
      <c r="D30" s="8"/>
      <c r="E30" s="7">
        <f>COST_BASE</f>
        <v>15000</v>
      </c>
      <c r="F30" s="7"/>
    </row>
    <row r="31" spans="1:6" ht="19.5" customHeight="1" x14ac:dyDescent="0.2">
      <c r="A31" s="6" t="s">
        <v>36</v>
      </c>
      <c r="B31" s="6"/>
      <c r="C31" s="6"/>
      <c r="D31" s="6"/>
      <c r="E31" s="7">
        <f>MARGIN_DOLLAR</f>
        <v>3000</v>
      </c>
      <c r="F31" s="7"/>
    </row>
    <row r="32" spans="1:6" ht="19.5" customHeight="1" x14ac:dyDescent="0.2">
      <c r="A32" s="6" t="s">
        <v>37</v>
      </c>
      <c r="B32" s="6"/>
      <c r="C32" s="6"/>
      <c r="D32" s="6"/>
      <c r="E32" s="7">
        <f>SUBTOTAL_EX</f>
        <v>18000</v>
      </c>
      <c r="F32" s="7"/>
    </row>
    <row r="33" spans="1:6" ht="19.5" customHeight="1" x14ac:dyDescent="0.2">
      <c r="A33" s="6" t="s">
        <v>38</v>
      </c>
      <c r="B33" s="6"/>
      <c r="C33" s="6"/>
      <c r="D33" s="6"/>
      <c r="E33" s="7">
        <f>GST_AMT</f>
        <v>1800</v>
      </c>
      <c r="F33" s="7"/>
    </row>
    <row r="34" spans="1:6" ht="25.5" customHeight="1" x14ac:dyDescent="0.2">
      <c r="A34" s="5" t="s">
        <v>39</v>
      </c>
      <c r="B34" s="5"/>
      <c r="C34" s="5"/>
      <c r="D34" s="5"/>
      <c r="E34" s="4">
        <f>CONTRACT_VALUE</f>
        <v>19800</v>
      </c>
      <c r="F34" s="4"/>
    </row>
    <row r="35" spans="1:6" ht="19.5" customHeight="1" x14ac:dyDescent="0.2">
      <c r="A35" s="6" t="s">
        <v>40</v>
      </c>
      <c r="B35" s="6"/>
      <c r="C35" s="6"/>
      <c r="D35" s="6"/>
      <c r="E35" s="3">
        <f>IFERROR(CONTRACT_VALUE/B23,0)</f>
        <v>0</v>
      </c>
      <c r="F35" s="3"/>
    </row>
    <row r="36" spans="1:6" ht="19.5" customHeight="1" x14ac:dyDescent="0.2">
      <c r="A36" s="2" t="s">
        <v>41</v>
      </c>
      <c r="B36" s="2"/>
      <c r="C36" s="2"/>
      <c r="D36" s="2"/>
      <c r="E36" s="1">
        <f>GROSS_MARGIN_PCT</f>
        <v>0.16666666666666666</v>
      </c>
      <c r="F36" s="1"/>
    </row>
  </sheetData>
  <mergeCells count="47">
    <mergeCell ref="A34:D34"/>
    <mergeCell ref="E34:F34"/>
    <mergeCell ref="A35:D35"/>
    <mergeCell ref="E35:F35"/>
    <mergeCell ref="A36:D36"/>
    <mergeCell ref="E36:F36"/>
    <mergeCell ref="A31:D31"/>
    <mergeCell ref="E31:F31"/>
    <mergeCell ref="A32:D32"/>
    <mergeCell ref="E32:F32"/>
    <mergeCell ref="A33:D33"/>
    <mergeCell ref="E33:F33"/>
    <mergeCell ref="A28:D28"/>
    <mergeCell ref="E28:F28"/>
    <mergeCell ref="A29:D29"/>
    <mergeCell ref="E29:F29"/>
    <mergeCell ref="A30:D30"/>
    <mergeCell ref="E30:F30"/>
    <mergeCell ref="A17:F17"/>
    <mergeCell ref="A25:F25"/>
    <mergeCell ref="A26:D26"/>
    <mergeCell ref="E26:F26"/>
    <mergeCell ref="A27:D27"/>
    <mergeCell ref="E27:F27"/>
    <mergeCell ref="A13:B13"/>
    <mergeCell ref="C13:F13"/>
    <mergeCell ref="A14:B14"/>
    <mergeCell ref="C14:F14"/>
    <mergeCell ref="A15:B15"/>
    <mergeCell ref="C15:F15"/>
    <mergeCell ref="A10:B10"/>
    <mergeCell ref="C10:F10"/>
    <mergeCell ref="A11:B11"/>
    <mergeCell ref="C11:F11"/>
    <mergeCell ref="A12:B12"/>
    <mergeCell ref="C12:F12"/>
    <mergeCell ref="A7:B7"/>
    <mergeCell ref="C7:F7"/>
    <mergeCell ref="A8:B8"/>
    <mergeCell ref="C8:F8"/>
    <mergeCell ref="A9:B9"/>
    <mergeCell ref="C9:F9"/>
    <mergeCell ref="A1:F2"/>
    <mergeCell ref="A3:F3"/>
    <mergeCell ref="A4:F4"/>
    <mergeCell ref="A6:B6"/>
    <mergeCell ref="C6:F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5"/>
  <sheetViews>
    <sheetView zoomScaleNormal="100" workbookViewId="0">
      <pane ySplit="4" topLeftCell="A131" activePane="bottomLeft" state="frozen"/>
      <selection pane="bottomLeft" sqref="A1:F1"/>
    </sheetView>
  </sheetViews>
  <sheetFormatPr baseColWidth="10" defaultColWidth="8.6640625" defaultRowHeight="15" x14ac:dyDescent="0.2"/>
  <cols>
    <col min="1" max="1" width="42" customWidth="1"/>
    <col min="2" max="2" width="22" customWidth="1"/>
    <col min="3" max="3" width="28" customWidth="1"/>
    <col min="4" max="4" width="14" customWidth="1"/>
    <col min="5" max="5" width="18" customWidth="1"/>
    <col min="6" max="6" width="28" customWidth="1"/>
  </cols>
  <sheetData>
    <row r="1" spans="1:6" ht="25.5" customHeight="1" x14ac:dyDescent="0.2">
      <c r="A1" s="53" t="s">
        <v>42</v>
      </c>
      <c r="B1" s="53"/>
      <c r="C1" s="53"/>
      <c r="D1" s="53"/>
      <c r="E1" s="53"/>
      <c r="F1" s="53"/>
    </row>
    <row r="2" spans="1:6" ht="18" customHeight="1" x14ac:dyDescent="0.2">
      <c r="A2" s="12" t="s">
        <v>43</v>
      </c>
      <c r="B2" s="12"/>
      <c r="C2" s="12"/>
      <c r="D2" s="12"/>
      <c r="E2" s="12"/>
      <c r="F2" s="12"/>
    </row>
    <row r="4" spans="1:6" ht="31.5" customHeight="1" x14ac:dyDescent="0.2">
      <c r="A4" s="22" t="s">
        <v>44</v>
      </c>
      <c r="B4" s="22" t="s">
        <v>45</v>
      </c>
      <c r="C4" s="22" t="s">
        <v>46</v>
      </c>
      <c r="D4" s="22" t="s">
        <v>47</v>
      </c>
      <c r="E4" s="22" t="s">
        <v>48</v>
      </c>
      <c r="F4" s="22" t="s">
        <v>49</v>
      </c>
    </row>
    <row r="5" spans="1:6" ht="24" customHeight="1" x14ac:dyDescent="0.2">
      <c r="A5" s="54" t="s">
        <v>50</v>
      </c>
      <c r="B5" s="54"/>
      <c r="C5" s="54"/>
      <c r="D5" s="54"/>
      <c r="E5" s="54"/>
      <c r="F5" s="54"/>
    </row>
    <row r="6" spans="1:6" ht="18" customHeight="1" x14ac:dyDescent="0.2">
      <c r="A6" s="23" t="s">
        <v>51</v>
      </c>
      <c r="B6" s="24" t="s">
        <v>52</v>
      </c>
      <c r="C6" s="25"/>
      <c r="D6" s="26"/>
      <c r="E6" s="27">
        <v>0</v>
      </c>
      <c r="F6" s="25"/>
    </row>
    <row r="7" spans="1:6" ht="18" customHeight="1" x14ac:dyDescent="0.2">
      <c r="A7" s="23" t="s">
        <v>53</v>
      </c>
      <c r="B7" s="24" t="s">
        <v>54</v>
      </c>
      <c r="C7" s="25"/>
      <c r="D7" s="26"/>
      <c r="E7" s="27">
        <v>0</v>
      </c>
      <c r="F7" s="25"/>
    </row>
    <row r="8" spans="1:6" ht="18" customHeight="1" x14ac:dyDescent="0.2">
      <c r="A8" s="23" t="s">
        <v>55</v>
      </c>
      <c r="B8" s="24" t="s">
        <v>56</v>
      </c>
      <c r="C8" s="25"/>
      <c r="D8" s="26"/>
      <c r="E8" s="27">
        <v>0</v>
      </c>
      <c r="F8" s="25"/>
    </row>
    <row r="9" spans="1:6" ht="18" customHeight="1" x14ac:dyDescent="0.2">
      <c r="A9" s="23" t="s">
        <v>57</v>
      </c>
      <c r="B9" s="24" t="s">
        <v>58</v>
      </c>
      <c r="C9" s="25"/>
      <c r="D9" s="26"/>
      <c r="E9" s="27">
        <v>0</v>
      </c>
      <c r="F9" s="25"/>
    </row>
    <row r="10" spans="1:6" ht="18" customHeight="1" x14ac:dyDescent="0.2">
      <c r="A10" s="23" t="s">
        <v>59</v>
      </c>
      <c r="B10" s="24" t="s">
        <v>60</v>
      </c>
      <c r="C10" s="25"/>
      <c r="D10" s="26"/>
      <c r="E10" s="27">
        <v>0</v>
      </c>
      <c r="F10" s="25"/>
    </row>
    <row r="11" spans="1:6" ht="18" customHeight="1" x14ac:dyDescent="0.2">
      <c r="A11" s="23" t="s">
        <v>61</v>
      </c>
      <c r="B11" s="24" t="s">
        <v>62</v>
      </c>
      <c r="C11" s="25"/>
      <c r="D11" s="26"/>
      <c r="E11" s="27">
        <v>0</v>
      </c>
      <c r="F11" s="25"/>
    </row>
    <row r="12" spans="1:6" ht="18" customHeight="1" x14ac:dyDescent="0.2">
      <c r="A12" s="23" t="s">
        <v>63</v>
      </c>
      <c r="B12" s="24" t="s">
        <v>64</v>
      </c>
      <c r="C12" s="25"/>
      <c r="D12" s="26"/>
      <c r="E12" s="27">
        <v>0</v>
      </c>
      <c r="F12" s="25"/>
    </row>
    <row r="13" spans="1:6" ht="18" customHeight="1" x14ac:dyDescent="0.2">
      <c r="A13" s="23" t="s">
        <v>65</v>
      </c>
      <c r="B13" s="24" t="s">
        <v>66</v>
      </c>
      <c r="C13" s="25"/>
      <c r="D13" s="26"/>
      <c r="E13" s="27">
        <v>0</v>
      </c>
      <c r="F13" s="25"/>
    </row>
    <row r="14" spans="1:6" ht="21.75" customHeight="1" x14ac:dyDescent="0.2">
      <c r="A14" s="55" t="s">
        <v>67</v>
      </c>
      <c r="B14" s="55"/>
      <c r="C14" s="55"/>
      <c r="D14" s="55"/>
      <c r="E14" s="28">
        <f>SUM(E6:E13)</f>
        <v>0</v>
      </c>
      <c r="F14" s="29"/>
    </row>
    <row r="16" spans="1:6" ht="24" customHeight="1" x14ac:dyDescent="0.2">
      <c r="A16" s="54" t="s">
        <v>68</v>
      </c>
      <c r="B16" s="54"/>
      <c r="C16" s="54"/>
      <c r="D16" s="54"/>
      <c r="E16" s="54"/>
      <c r="F16" s="54"/>
    </row>
    <row r="17" spans="1:6" ht="18" customHeight="1" x14ac:dyDescent="0.2">
      <c r="A17" s="23" t="s">
        <v>69</v>
      </c>
      <c r="B17" s="24" t="s">
        <v>70</v>
      </c>
      <c r="C17" s="25"/>
      <c r="D17" s="26"/>
      <c r="E17" s="27">
        <v>0</v>
      </c>
      <c r="F17" s="25"/>
    </row>
    <row r="18" spans="1:6" ht="18" customHeight="1" x14ac:dyDescent="0.2">
      <c r="A18" s="23" t="s">
        <v>71</v>
      </c>
      <c r="B18" s="24" t="s">
        <v>72</v>
      </c>
      <c r="C18" s="25"/>
      <c r="D18" s="26"/>
      <c r="E18" s="27">
        <v>0</v>
      </c>
      <c r="F18" s="25"/>
    </row>
    <row r="19" spans="1:6" ht="18" customHeight="1" x14ac:dyDescent="0.2">
      <c r="A19" s="23" t="s">
        <v>73</v>
      </c>
      <c r="B19" s="24" t="s">
        <v>74</v>
      </c>
      <c r="C19" s="25"/>
      <c r="D19" s="26"/>
      <c r="E19" s="27">
        <v>0</v>
      </c>
      <c r="F19" s="25"/>
    </row>
    <row r="20" spans="1:6" ht="18" customHeight="1" x14ac:dyDescent="0.2">
      <c r="A20" s="23" t="s">
        <v>75</v>
      </c>
      <c r="B20" s="24" t="s">
        <v>76</v>
      </c>
      <c r="C20" s="25"/>
      <c r="D20" s="26"/>
      <c r="E20" s="27">
        <v>0</v>
      </c>
      <c r="F20" s="25"/>
    </row>
    <row r="21" spans="1:6" ht="18" customHeight="1" x14ac:dyDescent="0.2">
      <c r="A21" s="23" t="s">
        <v>77</v>
      </c>
      <c r="B21" s="24" t="s">
        <v>78</v>
      </c>
      <c r="C21" s="25"/>
      <c r="D21" s="26"/>
      <c r="E21" s="27">
        <v>0</v>
      </c>
      <c r="F21" s="25"/>
    </row>
    <row r="22" spans="1:6" ht="18" customHeight="1" x14ac:dyDescent="0.2">
      <c r="A22" s="23" t="s">
        <v>79</v>
      </c>
      <c r="B22" s="24" t="s">
        <v>80</v>
      </c>
      <c r="C22" s="25"/>
      <c r="D22" s="26"/>
      <c r="E22" s="27">
        <v>0</v>
      </c>
      <c r="F22" s="25"/>
    </row>
    <row r="23" spans="1:6" ht="21.75" customHeight="1" x14ac:dyDescent="0.2">
      <c r="A23" s="55" t="s">
        <v>81</v>
      </c>
      <c r="B23" s="55"/>
      <c r="C23" s="55"/>
      <c r="D23" s="55"/>
      <c r="E23" s="28">
        <f>SUM(E17:E22)</f>
        <v>0</v>
      </c>
      <c r="F23" s="29"/>
    </row>
    <row r="25" spans="1:6" ht="24" customHeight="1" x14ac:dyDescent="0.2">
      <c r="A25" s="54" t="s">
        <v>82</v>
      </c>
      <c r="B25" s="54"/>
      <c r="C25" s="54"/>
      <c r="D25" s="54"/>
      <c r="E25" s="54"/>
      <c r="F25" s="54"/>
    </row>
    <row r="26" spans="1:6" ht="18" customHeight="1" x14ac:dyDescent="0.2">
      <c r="A26" s="23" t="s">
        <v>83</v>
      </c>
      <c r="B26" s="24" t="s">
        <v>74</v>
      </c>
      <c r="C26" s="25"/>
      <c r="D26" s="26"/>
      <c r="E26" s="27">
        <v>0</v>
      </c>
      <c r="F26" s="25"/>
    </row>
    <row r="27" spans="1:6" ht="18" customHeight="1" x14ac:dyDescent="0.2">
      <c r="A27" s="23" t="s">
        <v>84</v>
      </c>
      <c r="B27" s="24" t="s">
        <v>74</v>
      </c>
      <c r="C27" s="25"/>
      <c r="D27" s="26"/>
      <c r="E27" s="27">
        <v>0</v>
      </c>
      <c r="F27" s="25"/>
    </row>
    <row r="28" spans="1:6" ht="18" customHeight="1" x14ac:dyDescent="0.2">
      <c r="A28" s="23" t="s">
        <v>85</v>
      </c>
      <c r="B28" s="24" t="s">
        <v>74</v>
      </c>
      <c r="C28" s="25"/>
      <c r="D28" s="26"/>
      <c r="E28" s="27">
        <v>0</v>
      </c>
      <c r="F28" s="25"/>
    </row>
    <row r="29" spans="1:6" ht="18" customHeight="1" x14ac:dyDescent="0.2">
      <c r="A29" s="23" t="s">
        <v>86</v>
      </c>
      <c r="B29" s="24" t="s">
        <v>74</v>
      </c>
      <c r="C29" s="25"/>
      <c r="D29" s="26"/>
      <c r="E29" s="27">
        <v>0</v>
      </c>
      <c r="F29" s="25"/>
    </row>
    <row r="30" spans="1:6" ht="18" customHeight="1" x14ac:dyDescent="0.2">
      <c r="A30" s="23" t="s">
        <v>87</v>
      </c>
      <c r="B30" s="24" t="s">
        <v>88</v>
      </c>
      <c r="C30" s="25"/>
      <c r="D30" s="26"/>
      <c r="E30" s="27">
        <v>0</v>
      </c>
      <c r="F30" s="25"/>
    </row>
    <row r="31" spans="1:6" ht="21.75" customHeight="1" x14ac:dyDescent="0.2">
      <c r="A31" s="55" t="s">
        <v>89</v>
      </c>
      <c r="B31" s="55"/>
      <c r="C31" s="55"/>
      <c r="D31" s="55"/>
      <c r="E31" s="28">
        <f>SUM(E26:E30)</f>
        <v>0</v>
      </c>
      <c r="F31" s="29"/>
    </row>
    <row r="33" spans="1:6" ht="24" customHeight="1" x14ac:dyDescent="0.2">
      <c r="A33" s="54" t="s">
        <v>90</v>
      </c>
      <c r="B33" s="54"/>
      <c r="C33" s="54"/>
      <c r="D33" s="54"/>
      <c r="E33" s="54"/>
      <c r="F33" s="54"/>
    </row>
    <row r="34" spans="1:6" ht="18" customHeight="1" x14ac:dyDescent="0.2">
      <c r="A34" s="23" t="s">
        <v>91</v>
      </c>
      <c r="B34" s="24" t="s">
        <v>92</v>
      </c>
      <c r="C34" s="25"/>
      <c r="D34" s="26"/>
      <c r="E34" s="27">
        <v>0</v>
      </c>
      <c r="F34" s="25"/>
    </row>
    <row r="35" spans="1:6" ht="18" customHeight="1" x14ac:dyDescent="0.2">
      <c r="A35" s="23" t="s">
        <v>93</v>
      </c>
      <c r="B35" s="24" t="s">
        <v>94</v>
      </c>
      <c r="C35" s="25"/>
      <c r="D35" s="26"/>
      <c r="E35" s="27">
        <v>0</v>
      </c>
      <c r="F35" s="25"/>
    </row>
    <row r="36" spans="1:6" ht="18" customHeight="1" x14ac:dyDescent="0.2">
      <c r="A36" s="23" t="s">
        <v>95</v>
      </c>
      <c r="B36" s="24" t="s">
        <v>96</v>
      </c>
      <c r="C36" s="25"/>
      <c r="D36" s="26"/>
      <c r="E36" s="27">
        <v>0</v>
      </c>
      <c r="F36" s="25"/>
    </row>
    <row r="37" spans="1:6" ht="18" customHeight="1" x14ac:dyDescent="0.2">
      <c r="A37" s="23" t="s">
        <v>97</v>
      </c>
      <c r="B37" s="24" t="s">
        <v>98</v>
      </c>
      <c r="C37" s="25"/>
      <c r="D37" s="26"/>
      <c r="E37" s="27">
        <v>0</v>
      </c>
      <c r="F37" s="25"/>
    </row>
    <row r="38" spans="1:6" ht="18" customHeight="1" x14ac:dyDescent="0.2">
      <c r="A38" s="23" t="s">
        <v>99</v>
      </c>
      <c r="B38" s="24" t="s">
        <v>98</v>
      </c>
      <c r="C38" s="25"/>
      <c r="D38" s="26"/>
      <c r="E38" s="27">
        <v>0</v>
      </c>
      <c r="F38" s="25"/>
    </row>
    <row r="39" spans="1:6" ht="18" customHeight="1" x14ac:dyDescent="0.2">
      <c r="A39" s="23" t="s">
        <v>100</v>
      </c>
      <c r="B39" s="24" t="s">
        <v>101</v>
      </c>
      <c r="C39" s="25"/>
      <c r="D39" s="26"/>
      <c r="E39" s="27">
        <v>0</v>
      </c>
      <c r="F39" s="25"/>
    </row>
    <row r="40" spans="1:6" ht="21.75" customHeight="1" x14ac:dyDescent="0.2">
      <c r="A40" s="55" t="s">
        <v>102</v>
      </c>
      <c r="B40" s="55"/>
      <c r="C40" s="55"/>
      <c r="D40" s="55"/>
      <c r="E40" s="28">
        <f>SUM(E34:E39)</f>
        <v>0</v>
      </c>
      <c r="F40" s="29"/>
    </row>
    <row r="42" spans="1:6" ht="24" customHeight="1" x14ac:dyDescent="0.2">
      <c r="A42" s="54" t="s">
        <v>103</v>
      </c>
      <c r="B42" s="54"/>
      <c r="C42" s="54"/>
      <c r="D42" s="54"/>
      <c r="E42" s="54"/>
      <c r="F42" s="54"/>
    </row>
    <row r="43" spans="1:6" ht="18" customHeight="1" x14ac:dyDescent="0.2">
      <c r="A43" s="23" t="s">
        <v>104</v>
      </c>
      <c r="B43" s="24" t="s">
        <v>105</v>
      </c>
      <c r="C43" s="25"/>
      <c r="D43" s="26"/>
      <c r="E43" s="27">
        <v>0</v>
      </c>
      <c r="F43" s="25"/>
    </row>
    <row r="44" spans="1:6" ht="18" customHeight="1" x14ac:dyDescent="0.2">
      <c r="A44" s="23" t="s">
        <v>106</v>
      </c>
      <c r="B44" s="24" t="s">
        <v>94</v>
      </c>
      <c r="C44" s="25"/>
      <c r="D44" s="26"/>
      <c r="E44" s="27">
        <v>0</v>
      </c>
      <c r="F44" s="25"/>
    </row>
    <row r="45" spans="1:6" ht="18" customHeight="1" x14ac:dyDescent="0.2">
      <c r="A45" s="23" t="s">
        <v>107</v>
      </c>
      <c r="B45" s="24" t="s">
        <v>94</v>
      </c>
      <c r="C45" s="25"/>
      <c r="D45" s="26"/>
      <c r="E45" s="27">
        <v>0</v>
      </c>
      <c r="F45" s="25"/>
    </row>
    <row r="46" spans="1:6" ht="18" customHeight="1" x14ac:dyDescent="0.2">
      <c r="A46" s="23" t="s">
        <v>108</v>
      </c>
      <c r="B46" s="24" t="s">
        <v>105</v>
      </c>
      <c r="C46" s="25"/>
      <c r="D46" s="26"/>
      <c r="E46" s="27">
        <v>0</v>
      </c>
      <c r="F46" s="25"/>
    </row>
    <row r="47" spans="1:6" ht="18" customHeight="1" x14ac:dyDescent="0.2">
      <c r="A47" s="23" t="s">
        <v>109</v>
      </c>
      <c r="B47" s="24" t="s">
        <v>72</v>
      </c>
      <c r="C47" s="25"/>
      <c r="D47" s="26"/>
      <c r="E47" s="27">
        <v>0</v>
      </c>
      <c r="F47" s="25"/>
    </row>
    <row r="48" spans="1:6" ht="18" customHeight="1" x14ac:dyDescent="0.2">
      <c r="A48" s="23" t="s">
        <v>110</v>
      </c>
      <c r="B48" s="24" t="s">
        <v>111</v>
      </c>
      <c r="C48" s="25"/>
      <c r="D48" s="26"/>
      <c r="E48" s="27">
        <v>0</v>
      </c>
      <c r="F48" s="25"/>
    </row>
    <row r="49" spans="1:6" ht="18" customHeight="1" x14ac:dyDescent="0.2">
      <c r="A49" s="23" t="s">
        <v>112</v>
      </c>
      <c r="B49" s="24" t="s">
        <v>113</v>
      </c>
      <c r="C49" s="25"/>
      <c r="D49" s="26"/>
      <c r="E49" s="27">
        <v>0</v>
      </c>
      <c r="F49" s="25"/>
    </row>
    <row r="50" spans="1:6" ht="18" customHeight="1" x14ac:dyDescent="0.2">
      <c r="A50" s="23" t="s">
        <v>114</v>
      </c>
      <c r="B50" s="24" t="s">
        <v>94</v>
      </c>
      <c r="C50" s="25"/>
      <c r="D50" s="26"/>
      <c r="E50" s="27">
        <v>0</v>
      </c>
      <c r="F50" s="25"/>
    </row>
    <row r="51" spans="1:6" ht="18" customHeight="1" x14ac:dyDescent="0.2">
      <c r="A51" s="23" t="s">
        <v>115</v>
      </c>
      <c r="B51" s="24" t="s">
        <v>116</v>
      </c>
      <c r="C51" s="25"/>
      <c r="D51" s="26"/>
      <c r="E51" s="27">
        <v>0</v>
      </c>
      <c r="F51" s="25"/>
    </row>
    <row r="52" spans="1:6" ht="18" customHeight="1" x14ac:dyDescent="0.2">
      <c r="A52" s="23" t="s">
        <v>117</v>
      </c>
      <c r="B52" s="24" t="s">
        <v>118</v>
      </c>
      <c r="C52" s="25"/>
      <c r="D52" s="26"/>
      <c r="E52" s="27">
        <v>0</v>
      </c>
      <c r="F52" s="25"/>
    </row>
    <row r="53" spans="1:6" ht="18" customHeight="1" x14ac:dyDescent="0.2">
      <c r="A53" s="23" t="s">
        <v>119</v>
      </c>
      <c r="B53" s="24" t="s">
        <v>120</v>
      </c>
      <c r="C53" s="25"/>
      <c r="D53" s="26"/>
      <c r="E53" s="27">
        <v>0</v>
      </c>
      <c r="F53" s="25"/>
    </row>
    <row r="54" spans="1:6" ht="18" customHeight="1" x14ac:dyDescent="0.2">
      <c r="A54" s="23" t="s">
        <v>121</v>
      </c>
      <c r="B54" s="24" t="s">
        <v>122</v>
      </c>
      <c r="C54" s="25"/>
      <c r="D54" s="26"/>
      <c r="E54" s="27">
        <v>0</v>
      </c>
      <c r="F54" s="25"/>
    </row>
    <row r="55" spans="1:6" ht="18" customHeight="1" x14ac:dyDescent="0.2">
      <c r="A55" s="23" t="s">
        <v>123</v>
      </c>
      <c r="B55" s="24" t="s">
        <v>124</v>
      </c>
      <c r="C55" s="25"/>
      <c r="D55" s="26"/>
      <c r="E55" s="27">
        <v>0</v>
      </c>
      <c r="F55" s="25"/>
    </row>
    <row r="56" spans="1:6" ht="21.75" customHeight="1" x14ac:dyDescent="0.2">
      <c r="A56" s="55" t="s">
        <v>125</v>
      </c>
      <c r="B56" s="55"/>
      <c r="C56" s="55"/>
      <c r="D56" s="55"/>
      <c r="E56" s="28">
        <f>SUM(E43:E55)</f>
        <v>0</v>
      </c>
      <c r="F56" s="29"/>
    </row>
    <row r="58" spans="1:6" ht="24" customHeight="1" x14ac:dyDescent="0.2">
      <c r="A58" s="54" t="s">
        <v>126</v>
      </c>
      <c r="B58" s="54"/>
      <c r="C58" s="54"/>
      <c r="D58" s="54"/>
      <c r="E58" s="54"/>
      <c r="F58" s="54"/>
    </row>
    <row r="59" spans="1:6" ht="18" customHeight="1" x14ac:dyDescent="0.2">
      <c r="A59" s="23" t="s">
        <v>127</v>
      </c>
      <c r="B59" s="24" t="s">
        <v>128</v>
      </c>
      <c r="C59" s="25"/>
      <c r="D59" s="26"/>
      <c r="E59" s="27">
        <v>0</v>
      </c>
      <c r="F59" s="25"/>
    </row>
    <row r="60" spans="1:6" ht="18" customHeight="1" x14ac:dyDescent="0.2">
      <c r="A60" s="23" t="s">
        <v>129</v>
      </c>
      <c r="B60" s="24" t="s">
        <v>128</v>
      </c>
      <c r="C60" s="25"/>
      <c r="D60" s="26"/>
      <c r="E60" s="27">
        <v>0</v>
      </c>
      <c r="F60" s="25"/>
    </row>
    <row r="61" spans="1:6" ht="18" customHeight="1" x14ac:dyDescent="0.2">
      <c r="A61" s="23" t="s">
        <v>130</v>
      </c>
      <c r="B61" s="24" t="s">
        <v>128</v>
      </c>
      <c r="C61" s="25"/>
      <c r="D61" s="26"/>
      <c r="E61" s="27">
        <v>0</v>
      </c>
      <c r="F61" s="25"/>
    </row>
    <row r="62" spans="1:6" ht="18" customHeight="1" x14ac:dyDescent="0.2">
      <c r="A62" s="23" t="s">
        <v>131</v>
      </c>
      <c r="B62" s="24" t="s">
        <v>128</v>
      </c>
      <c r="C62" s="25"/>
      <c r="D62" s="26"/>
      <c r="E62" s="27">
        <v>0</v>
      </c>
      <c r="F62" s="25"/>
    </row>
    <row r="63" spans="1:6" ht="18" customHeight="1" x14ac:dyDescent="0.2">
      <c r="A63" s="23" t="s">
        <v>132</v>
      </c>
      <c r="B63" s="24" t="s">
        <v>94</v>
      </c>
      <c r="C63" s="25"/>
      <c r="D63" s="26"/>
      <c r="E63" s="27">
        <v>0</v>
      </c>
      <c r="F63" s="25"/>
    </row>
    <row r="64" spans="1:6" ht="18" customHeight="1" x14ac:dyDescent="0.2">
      <c r="A64" s="23" t="s">
        <v>133</v>
      </c>
      <c r="B64" s="24" t="s">
        <v>94</v>
      </c>
      <c r="C64" s="25"/>
      <c r="D64" s="26"/>
      <c r="E64" s="27">
        <v>0</v>
      </c>
      <c r="F64" s="25"/>
    </row>
    <row r="65" spans="1:6" ht="18" customHeight="1" x14ac:dyDescent="0.2">
      <c r="A65" s="23" t="s">
        <v>134</v>
      </c>
      <c r="B65" s="24" t="s">
        <v>135</v>
      </c>
      <c r="C65" s="25"/>
      <c r="D65" s="26"/>
      <c r="E65" s="27">
        <v>0</v>
      </c>
      <c r="F65" s="25"/>
    </row>
    <row r="66" spans="1:6" ht="21.75" customHeight="1" x14ac:dyDescent="0.2">
      <c r="A66" s="55" t="s">
        <v>136</v>
      </c>
      <c r="B66" s="55"/>
      <c r="C66" s="55"/>
      <c r="D66" s="55"/>
      <c r="E66" s="28">
        <f>SUM(E59:E65)</f>
        <v>0</v>
      </c>
      <c r="F66" s="29"/>
    </row>
    <row r="68" spans="1:6" ht="24" customHeight="1" x14ac:dyDescent="0.2">
      <c r="A68" s="54" t="s">
        <v>137</v>
      </c>
      <c r="B68" s="54"/>
      <c r="C68" s="54"/>
      <c r="D68" s="54"/>
      <c r="E68" s="54"/>
      <c r="F68" s="54"/>
    </row>
    <row r="69" spans="1:6" ht="18" customHeight="1" x14ac:dyDescent="0.2">
      <c r="A69" s="23" t="s">
        <v>138</v>
      </c>
      <c r="B69" s="24" t="s">
        <v>139</v>
      </c>
      <c r="C69" s="25"/>
      <c r="D69" s="26"/>
      <c r="E69" s="27">
        <v>0</v>
      </c>
      <c r="F69" s="25"/>
    </row>
    <row r="70" spans="1:6" ht="18" customHeight="1" x14ac:dyDescent="0.2">
      <c r="A70" s="23" t="s">
        <v>140</v>
      </c>
      <c r="B70" s="24" t="s">
        <v>141</v>
      </c>
      <c r="C70" s="25"/>
      <c r="D70" s="26"/>
      <c r="E70" s="27">
        <v>0</v>
      </c>
      <c r="F70" s="25"/>
    </row>
    <row r="71" spans="1:6" ht="18" customHeight="1" x14ac:dyDescent="0.2">
      <c r="A71" s="23" t="s">
        <v>142</v>
      </c>
      <c r="B71" s="24" t="s">
        <v>139</v>
      </c>
      <c r="C71" s="25"/>
      <c r="D71" s="26"/>
      <c r="E71" s="27">
        <v>0</v>
      </c>
      <c r="F71" s="25"/>
    </row>
    <row r="72" spans="1:6" ht="18" customHeight="1" x14ac:dyDescent="0.2">
      <c r="A72" s="23" t="s">
        <v>143</v>
      </c>
      <c r="B72" s="24" t="s">
        <v>139</v>
      </c>
      <c r="C72" s="25"/>
      <c r="D72" s="26"/>
      <c r="E72" s="27">
        <v>0</v>
      </c>
      <c r="F72" s="25"/>
    </row>
    <row r="73" spans="1:6" ht="18" customHeight="1" x14ac:dyDescent="0.2">
      <c r="A73" s="23" t="s">
        <v>144</v>
      </c>
      <c r="B73" s="24" t="s">
        <v>139</v>
      </c>
      <c r="C73" s="25"/>
      <c r="D73" s="26"/>
      <c r="E73" s="27">
        <v>0</v>
      </c>
      <c r="F73" s="25"/>
    </row>
    <row r="74" spans="1:6" ht="18" customHeight="1" x14ac:dyDescent="0.2">
      <c r="A74" s="23" t="s">
        <v>145</v>
      </c>
      <c r="B74" s="24" t="s">
        <v>94</v>
      </c>
      <c r="C74" s="25"/>
      <c r="D74" s="26"/>
      <c r="E74" s="27">
        <v>0</v>
      </c>
      <c r="F74" s="25"/>
    </row>
    <row r="75" spans="1:6" ht="21.75" customHeight="1" x14ac:dyDescent="0.2">
      <c r="A75" s="55" t="s">
        <v>146</v>
      </c>
      <c r="B75" s="55"/>
      <c r="C75" s="55"/>
      <c r="D75" s="55"/>
      <c r="E75" s="28">
        <f>SUM(E69:E74)</f>
        <v>0</v>
      </c>
      <c r="F75" s="29"/>
    </row>
    <row r="77" spans="1:6" ht="24" customHeight="1" x14ac:dyDescent="0.2">
      <c r="A77" s="54" t="s">
        <v>147</v>
      </c>
      <c r="B77" s="54"/>
      <c r="C77" s="54"/>
      <c r="D77" s="54"/>
      <c r="E77" s="54"/>
      <c r="F77" s="54"/>
    </row>
    <row r="78" spans="1:6" ht="18" customHeight="1" x14ac:dyDescent="0.2">
      <c r="A78" s="23" t="s">
        <v>148</v>
      </c>
      <c r="B78" s="24" t="s">
        <v>149</v>
      </c>
      <c r="C78" s="25"/>
      <c r="D78" s="26"/>
      <c r="E78" s="27">
        <v>0</v>
      </c>
      <c r="F78" s="25"/>
    </row>
    <row r="79" spans="1:6" ht="18" customHeight="1" x14ac:dyDescent="0.2">
      <c r="A79" s="23" t="s">
        <v>150</v>
      </c>
      <c r="B79" s="24" t="s">
        <v>139</v>
      </c>
      <c r="C79" s="25"/>
      <c r="D79" s="26"/>
      <c r="E79" s="27">
        <v>0</v>
      </c>
      <c r="F79" s="25"/>
    </row>
    <row r="80" spans="1:6" ht="21.75" customHeight="1" x14ac:dyDescent="0.2">
      <c r="A80" s="55" t="s">
        <v>151</v>
      </c>
      <c r="B80" s="55"/>
      <c r="C80" s="55"/>
      <c r="D80" s="55"/>
      <c r="E80" s="28">
        <f>SUM(E78:E79)</f>
        <v>0</v>
      </c>
      <c r="F80" s="29"/>
    </row>
    <row r="82" spans="1:6" ht="24" customHeight="1" x14ac:dyDescent="0.2">
      <c r="A82" s="54" t="s">
        <v>152</v>
      </c>
      <c r="B82" s="54"/>
      <c r="C82" s="54"/>
      <c r="D82" s="54"/>
      <c r="E82" s="54"/>
      <c r="F82" s="54"/>
    </row>
    <row r="83" spans="1:6" ht="18" customHeight="1" x14ac:dyDescent="0.2">
      <c r="A83" s="23" t="s">
        <v>153</v>
      </c>
      <c r="B83" s="24" t="s">
        <v>154</v>
      </c>
      <c r="C83" s="25"/>
      <c r="D83" s="26"/>
      <c r="E83" s="27">
        <v>0</v>
      </c>
      <c r="F83" s="25"/>
    </row>
    <row r="84" spans="1:6" ht="18" customHeight="1" x14ac:dyDescent="0.2">
      <c r="A84" s="23" t="s">
        <v>155</v>
      </c>
      <c r="B84" s="24" t="s">
        <v>156</v>
      </c>
      <c r="C84" s="25"/>
      <c r="D84" s="26"/>
      <c r="E84" s="27">
        <v>0</v>
      </c>
      <c r="F84" s="25"/>
    </row>
    <row r="85" spans="1:6" ht="18" customHeight="1" x14ac:dyDescent="0.2">
      <c r="A85" s="23" t="s">
        <v>157</v>
      </c>
      <c r="B85" s="24" t="s">
        <v>101</v>
      </c>
      <c r="C85" s="25"/>
      <c r="D85" s="26"/>
      <c r="E85" s="27">
        <v>0</v>
      </c>
      <c r="F85" s="25"/>
    </row>
    <row r="86" spans="1:6" ht="18" customHeight="1" x14ac:dyDescent="0.2">
      <c r="A86" s="23" t="s">
        <v>158</v>
      </c>
      <c r="B86" s="24" t="s">
        <v>94</v>
      </c>
      <c r="C86" s="25"/>
      <c r="D86" s="26"/>
      <c r="E86" s="27">
        <v>0</v>
      </c>
      <c r="F86" s="25"/>
    </row>
    <row r="87" spans="1:6" ht="18" customHeight="1" x14ac:dyDescent="0.2">
      <c r="A87" s="23" t="s">
        <v>159</v>
      </c>
      <c r="B87" s="24" t="s">
        <v>160</v>
      </c>
      <c r="C87" s="25"/>
      <c r="D87" s="26"/>
      <c r="E87" s="27">
        <v>0</v>
      </c>
      <c r="F87" s="25"/>
    </row>
    <row r="88" spans="1:6" ht="18" customHeight="1" x14ac:dyDescent="0.2">
      <c r="A88" s="23" t="s">
        <v>161</v>
      </c>
      <c r="B88" s="24" t="s">
        <v>162</v>
      </c>
      <c r="C88" s="25"/>
      <c r="D88" s="26"/>
      <c r="E88" s="27">
        <v>0</v>
      </c>
      <c r="F88" s="25"/>
    </row>
    <row r="89" spans="1:6" ht="18" customHeight="1" x14ac:dyDescent="0.2">
      <c r="A89" s="23" t="s">
        <v>163</v>
      </c>
      <c r="B89" s="24" t="s">
        <v>113</v>
      </c>
      <c r="C89" s="25"/>
      <c r="D89" s="26"/>
      <c r="E89" s="27">
        <v>0</v>
      </c>
      <c r="F89" s="25"/>
    </row>
    <row r="90" spans="1:6" ht="21.75" customHeight="1" x14ac:dyDescent="0.2">
      <c r="A90" s="55" t="s">
        <v>164</v>
      </c>
      <c r="B90" s="55"/>
      <c r="C90" s="55"/>
      <c r="D90" s="55"/>
      <c r="E90" s="28">
        <f>SUM(E83:E89)</f>
        <v>0</v>
      </c>
      <c r="F90" s="29"/>
    </row>
    <row r="92" spans="1:6" ht="24" customHeight="1" x14ac:dyDescent="0.2">
      <c r="A92" s="54" t="s">
        <v>165</v>
      </c>
      <c r="B92" s="54"/>
      <c r="C92" s="54"/>
      <c r="D92" s="54"/>
      <c r="E92" s="54"/>
      <c r="F92" s="54"/>
    </row>
    <row r="93" spans="1:6" ht="18" customHeight="1" x14ac:dyDescent="0.2">
      <c r="A93" s="23" t="s">
        <v>166</v>
      </c>
      <c r="B93" s="24" t="s">
        <v>167</v>
      </c>
      <c r="C93" s="25"/>
      <c r="D93" s="26"/>
      <c r="E93" s="27">
        <v>0</v>
      </c>
      <c r="F93" s="25"/>
    </row>
    <row r="94" spans="1:6" ht="18" customHeight="1" x14ac:dyDescent="0.2">
      <c r="A94" s="23" t="s">
        <v>168</v>
      </c>
      <c r="B94" s="24" t="s">
        <v>169</v>
      </c>
      <c r="C94" s="25"/>
      <c r="D94" s="26"/>
      <c r="E94" s="27">
        <v>0</v>
      </c>
      <c r="F94" s="25"/>
    </row>
    <row r="95" spans="1:6" ht="18" customHeight="1" x14ac:dyDescent="0.2">
      <c r="A95" s="23" t="s">
        <v>170</v>
      </c>
      <c r="B95" s="24" t="s">
        <v>171</v>
      </c>
      <c r="C95" s="25"/>
      <c r="D95" s="26"/>
      <c r="E95" s="27">
        <v>0</v>
      </c>
      <c r="F95" s="25"/>
    </row>
    <row r="96" spans="1:6" ht="18" customHeight="1" x14ac:dyDescent="0.2">
      <c r="A96" s="23" t="s">
        <v>172</v>
      </c>
      <c r="B96" s="24" t="s">
        <v>94</v>
      </c>
      <c r="C96" s="25"/>
      <c r="D96" s="26"/>
      <c r="E96" s="27">
        <v>0</v>
      </c>
      <c r="F96" s="25"/>
    </row>
    <row r="97" spans="1:6" ht="18" customHeight="1" x14ac:dyDescent="0.2">
      <c r="A97" s="23" t="s">
        <v>173</v>
      </c>
      <c r="B97" s="24" t="s">
        <v>94</v>
      </c>
      <c r="C97" s="25"/>
      <c r="D97" s="26"/>
      <c r="E97" s="27">
        <v>0</v>
      </c>
      <c r="F97" s="25"/>
    </row>
    <row r="98" spans="1:6" ht="21.75" customHeight="1" x14ac:dyDescent="0.2">
      <c r="A98" s="55" t="s">
        <v>174</v>
      </c>
      <c r="B98" s="55"/>
      <c r="C98" s="55"/>
      <c r="D98" s="55"/>
      <c r="E98" s="28">
        <f>SUM(E93:E97)</f>
        <v>0</v>
      </c>
      <c r="F98" s="29"/>
    </row>
    <row r="100" spans="1:6" ht="24" customHeight="1" x14ac:dyDescent="0.2">
      <c r="A100" s="54" t="s">
        <v>175</v>
      </c>
      <c r="B100" s="54"/>
      <c r="C100" s="54"/>
      <c r="D100" s="54"/>
      <c r="E100" s="54"/>
      <c r="F100" s="54"/>
    </row>
    <row r="101" spans="1:6" ht="18" customHeight="1" x14ac:dyDescent="0.2">
      <c r="A101" s="23" t="s">
        <v>176</v>
      </c>
      <c r="B101" s="24" t="s">
        <v>162</v>
      </c>
      <c r="C101" s="25"/>
      <c r="D101" s="26"/>
      <c r="E101" s="27">
        <v>0</v>
      </c>
      <c r="F101" s="25"/>
    </row>
    <row r="102" spans="1:6" ht="18" customHeight="1" x14ac:dyDescent="0.2">
      <c r="A102" s="23" t="s">
        <v>177</v>
      </c>
      <c r="B102" s="24" t="s">
        <v>178</v>
      </c>
      <c r="C102" s="25"/>
      <c r="D102" s="26"/>
      <c r="E102" s="27">
        <v>0</v>
      </c>
      <c r="F102" s="25"/>
    </row>
    <row r="103" spans="1:6" ht="18" customHeight="1" x14ac:dyDescent="0.2">
      <c r="A103" s="23" t="s">
        <v>179</v>
      </c>
      <c r="B103" s="24" t="s">
        <v>162</v>
      </c>
      <c r="C103" s="25"/>
      <c r="D103" s="26"/>
      <c r="E103" s="27">
        <v>0</v>
      </c>
      <c r="F103" s="25"/>
    </row>
    <row r="104" spans="1:6" ht="18" customHeight="1" x14ac:dyDescent="0.2">
      <c r="A104" s="23" t="s">
        <v>180</v>
      </c>
      <c r="B104" s="24" t="s">
        <v>94</v>
      </c>
      <c r="C104" s="25"/>
      <c r="D104" s="26"/>
      <c r="E104" s="27">
        <v>0</v>
      </c>
      <c r="F104" s="25"/>
    </row>
    <row r="105" spans="1:6" ht="21.75" customHeight="1" x14ac:dyDescent="0.2">
      <c r="A105" s="55" t="s">
        <v>181</v>
      </c>
      <c r="B105" s="55"/>
      <c r="C105" s="55"/>
      <c r="D105" s="55"/>
      <c r="E105" s="28">
        <f>SUM(E101:E104)</f>
        <v>0</v>
      </c>
      <c r="F105" s="29"/>
    </row>
    <row r="107" spans="1:6" ht="24" customHeight="1" x14ac:dyDescent="0.2">
      <c r="A107" s="54" t="s">
        <v>182</v>
      </c>
      <c r="B107" s="54"/>
      <c r="C107" s="54"/>
      <c r="D107" s="54"/>
      <c r="E107" s="54"/>
      <c r="F107" s="54"/>
    </row>
    <row r="108" spans="1:6" ht="18" customHeight="1" x14ac:dyDescent="0.2">
      <c r="A108" s="23" t="s">
        <v>183</v>
      </c>
      <c r="B108" s="24" t="s">
        <v>94</v>
      </c>
      <c r="C108" s="25"/>
      <c r="D108" s="26"/>
      <c r="E108" s="27">
        <v>0</v>
      </c>
      <c r="F108" s="25"/>
    </row>
    <row r="109" spans="1:6" ht="18" customHeight="1" x14ac:dyDescent="0.2">
      <c r="A109" s="23" t="s">
        <v>184</v>
      </c>
      <c r="B109" s="24" t="s">
        <v>94</v>
      </c>
      <c r="C109" s="25"/>
      <c r="D109" s="26"/>
      <c r="E109" s="27">
        <v>0</v>
      </c>
      <c r="F109" s="25"/>
    </row>
    <row r="110" spans="1:6" ht="18" customHeight="1" x14ac:dyDescent="0.2">
      <c r="A110" s="23" t="s">
        <v>185</v>
      </c>
      <c r="B110" s="24" t="s">
        <v>94</v>
      </c>
      <c r="C110" s="25"/>
      <c r="D110" s="26"/>
      <c r="E110" s="27">
        <v>0</v>
      </c>
      <c r="F110" s="25"/>
    </row>
    <row r="111" spans="1:6" ht="18" customHeight="1" x14ac:dyDescent="0.2">
      <c r="A111" s="23" t="s">
        <v>186</v>
      </c>
      <c r="B111" s="24" t="s">
        <v>94</v>
      </c>
      <c r="C111" s="25"/>
      <c r="D111" s="26"/>
      <c r="E111" s="27">
        <v>0</v>
      </c>
      <c r="F111" s="25"/>
    </row>
    <row r="112" spans="1:6" ht="21.75" customHeight="1" x14ac:dyDescent="0.2">
      <c r="A112" s="55" t="s">
        <v>187</v>
      </c>
      <c r="B112" s="55"/>
      <c r="C112" s="55"/>
      <c r="D112" s="55"/>
      <c r="E112" s="28">
        <f>SUM(E108:E111)</f>
        <v>0</v>
      </c>
      <c r="F112" s="29"/>
    </row>
    <row r="114" spans="1:6" ht="24" customHeight="1" x14ac:dyDescent="0.2">
      <c r="A114" s="54" t="s">
        <v>188</v>
      </c>
      <c r="B114" s="54"/>
      <c r="C114" s="54"/>
      <c r="D114" s="54"/>
      <c r="E114" s="54"/>
      <c r="F114" s="54"/>
    </row>
    <row r="115" spans="1:6" ht="18" customHeight="1" x14ac:dyDescent="0.2">
      <c r="A115" s="23" t="s">
        <v>189</v>
      </c>
      <c r="B115" s="24" t="s">
        <v>190</v>
      </c>
      <c r="C115" s="25"/>
      <c r="D115" s="26"/>
      <c r="E115" s="27">
        <v>0</v>
      </c>
      <c r="F115" s="25"/>
    </row>
    <row r="116" spans="1:6" ht="18" customHeight="1" x14ac:dyDescent="0.2">
      <c r="A116" s="23" t="s">
        <v>191</v>
      </c>
      <c r="B116" s="24" t="s">
        <v>190</v>
      </c>
      <c r="C116" s="25"/>
      <c r="D116" s="26"/>
      <c r="E116" s="27">
        <v>0</v>
      </c>
      <c r="F116" s="25"/>
    </row>
    <row r="117" spans="1:6" ht="18" customHeight="1" x14ac:dyDescent="0.2">
      <c r="A117" s="23" t="s">
        <v>192</v>
      </c>
      <c r="B117" s="24" t="s">
        <v>190</v>
      </c>
      <c r="C117" s="25"/>
      <c r="D117" s="26"/>
      <c r="E117" s="27">
        <v>0</v>
      </c>
      <c r="F117" s="25"/>
    </row>
    <row r="118" spans="1:6" ht="21.75" customHeight="1" x14ac:dyDescent="0.2">
      <c r="A118" s="55" t="s">
        <v>193</v>
      </c>
      <c r="B118" s="55"/>
      <c r="C118" s="55"/>
      <c r="D118" s="55"/>
      <c r="E118" s="28">
        <f>SUM(E115:E117)</f>
        <v>0</v>
      </c>
      <c r="F118" s="29"/>
    </row>
    <row r="120" spans="1:6" ht="24" customHeight="1" x14ac:dyDescent="0.2">
      <c r="A120" s="54" t="s">
        <v>194</v>
      </c>
      <c r="B120" s="54"/>
      <c r="C120" s="54"/>
      <c r="D120" s="54"/>
      <c r="E120" s="54"/>
      <c r="F120" s="54"/>
    </row>
    <row r="121" spans="1:6" ht="18" customHeight="1" x14ac:dyDescent="0.2">
      <c r="A121" s="23" t="s">
        <v>195</v>
      </c>
      <c r="B121" s="24" t="s">
        <v>74</v>
      </c>
      <c r="C121" s="25"/>
      <c r="D121" s="26"/>
      <c r="E121" s="27">
        <v>0</v>
      </c>
      <c r="F121" s="25"/>
    </row>
    <row r="122" spans="1:6" ht="18" customHeight="1" x14ac:dyDescent="0.2">
      <c r="A122" s="23" t="s">
        <v>196</v>
      </c>
      <c r="B122" s="24" t="s">
        <v>64</v>
      </c>
      <c r="C122" s="25"/>
      <c r="D122" s="26"/>
      <c r="E122" s="27">
        <v>0</v>
      </c>
      <c r="F122" s="25"/>
    </row>
    <row r="123" spans="1:6" ht="18" customHeight="1" x14ac:dyDescent="0.2">
      <c r="A123" s="23" t="s">
        <v>197</v>
      </c>
      <c r="B123" s="24" t="s">
        <v>198</v>
      </c>
      <c r="C123" s="25"/>
      <c r="D123" s="26"/>
      <c r="E123" s="27">
        <v>0</v>
      </c>
      <c r="F123" s="25"/>
    </row>
    <row r="124" spans="1:6" ht="18" customHeight="1" x14ac:dyDescent="0.2">
      <c r="A124" s="23" t="s">
        <v>199</v>
      </c>
      <c r="B124" s="24" t="s">
        <v>200</v>
      </c>
      <c r="C124" s="25"/>
      <c r="D124" s="26"/>
      <c r="E124" s="27">
        <v>0</v>
      </c>
      <c r="F124" s="25"/>
    </row>
    <row r="125" spans="1:6" ht="18" customHeight="1" x14ac:dyDescent="0.2">
      <c r="A125" s="23" t="s">
        <v>201</v>
      </c>
      <c r="B125" s="24" t="s">
        <v>94</v>
      </c>
      <c r="C125" s="25"/>
      <c r="D125" s="26"/>
      <c r="E125" s="27">
        <v>0</v>
      </c>
      <c r="F125" s="25"/>
    </row>
    <row r="126" spans="1:6" ht="18" customHeight="1" x14ac:dyDescent="0.2">
      <c r="A126" s="23" t="s">
        <v>202</v>
      </c>
      <c r="B126" s="24" t="s">
        <v>105</v>
      </c>
      <c r="C126" s="25"/>
      <c r="D126" s="26"/>
      <c r="E126" s="27">
        <v>0</v>
      </c>
      <c r="F126" s="25"/>
    </row>
    <row r="127" spans="1:6" ht="18" customHeight="1" x14ac:dyDescent="0.2">
      <c r="A127" s="23" t="s">
        <v>203</v>
      </c>
      <c r="B127" s="24" t="s">
        <v>204</v>
      </c>
      <c r="C127" s="25"/>
      <c r="D127" s="26"/>
      <c r="E127" s="27">
        <v>0</v>
      </c>
      <c r="F127" s="25"/>
    </row>
    <row r="128" spans="1:6" ht="21.75" customHeight="1" x14ac:dyDescent="0.2">
      <c r="A128" s="55" t="s">
        <v>205</v>
      </c>
      <c r="B128" s="55"/>
      <c r="C128" s="55"/>
      <c r="D128" s="55"/>
      <c r="E128" s="28">
        <f>SUM(E121:E127)</f>
        <v>0</v>
      </c>
      <c r="F128" s="29"/>
    </row>
    <row r="130" spans="1:6" ht="24" customHeight="1" x14ac:dyDescent="0.2">
      <c r="A130" s="54" t="s">
        <v>206</v>
      </c>
      <c r="B130" s="54"/>
      <c r="C130" s="54"/>
      <c r="D130" s="54"/>
      <c r="E130" s="54"/>
      <c r="F130" s="54"/>
    </row>
    <row r="131" spans="1:6" ht="18" customHeight="1" x14ac:dyDescent="0.2">
      <c r="A131" s="23" t="s">
        <v>207</v>
      </c>
      <c r="B131" s="24" t="s">
        <v>58</v>
      </c>
      <c r="C131" s="25"/>
      <c r="D131" s="26"/>
      <c r="E131" s="27">
        <v>0</v>
      </c>
      <c r="F131" s="25"/>
    </row>
    <row r="132" spans="1:6" ht="18" customHeight="1" x14ac:dyDescent="0.2">
      <c r="A132" s="23" t="s">
        <v>208</v>
      </c>
      <c r="B132" s="24" t="s">
        <v>209</v>
      </c>
      <c r="C132" s="25"/>
      <c r="D132" s="26"/>
      <c r="E132" s="27">
        <v>0</v>
      </c>
      <c r="F132" s="25"/>
    </row>
    <row r="133" spans="1:6" ht="18" customHeight="1" x14ac:dyDescent="0.2">
      <c r="A133" s="23" t="s">
        <v>210</v>
      </c>
      <c r="B133" s="24" t="s">
        <v>211</v>
      </c>
      <c r="C133" s="25"/>
      <c r="D133" s="26"/>
      <c r="E133" s="27">
        <v>0</v>
      </c>
      <c r="F133" s="25"/>
    </row>
    <row r="134" spans="1:6" ht="18" customHeight="1" x14ac:dyDescent="0.2">
      <c r="A134" s="23" t="s">
        <v>212</v>
      </c>
      <c r="B134" s="24" t="s">
        <v>213</v>
      </c>
      <c r="C134" s="25"/>
      <c r="D134" s="26"/>
      <c r="E134" s="27">
        <v>0</v>
      </c>
      <c r="F134" s="25"/>
    </row>
    <row r="135" spans="1:6" ht="18" customHeight="1" x14ac:dyDescent="0.2">
      <c r="A135" s="23" t="s">
        <v>214</v>
      </c>
      <c r="B135" s="24" t="s">
        <v>215</v>
      </c>
      <c r="C135" s="25"/>
      <c r="D135" s="26"/>
      <c r="E135" s="27">
        <v>0</v>
      </c>
      <c r="F135" s="25"/>
    </row>
    <row r="136" spans="1:6" ht="18" customHeight="1" x14ac:dyDescent="0.2">
      <c r="A136" s="23" t="s">
        <v>216</v>
      </c>
      <c r="B136" s="24" t="s">
        <v>72</v>
      </c>
      <c r="C136" s="25"/>
      <c r="D136" s="26"/>
      <c r="E136" s="27">
        <v>0</v>
      </c>
      <c r="F136" s="25"/>
    </row>
    <row r="137" spans="1:6" ht="18" customHeight="1" x14ac:dyDescent="0.2">
      <c r="A137" s="23" t="s">
        <v>217</v>
      </c>
      <c r="B137" s="24" t="s">
        <v>215</v>
      </c>
      <c r="C137" s="25"/>
      <c r="D137" s="26"/>
      <c r="E137" s="27">
        <v>0</v>
      </c>
      <c r="F137" s="25"/>
    </row>
    <row r="138" spans="1:6" ht="18" customHeight="1" x14ac:dyDescent="0.2">
      <c r="A138" s="23" t="s">
        <v>218</v>
      </c>
      <c r="B138" s="24" t="s">
        <v>215</v>
      </c>
      <c r="C138" s="25"/>
      <c r="D138" s="26"/>
      <c r="E138" s="27">
        <v>0</v>
      </c>
      <c r="F138" s="25"/>
    </row>
    <row r="139" spans="1:6" ht="21.75" customHeight="1" x14ac:dyDescent="0.2">
      <c r="A139" s="55" t="s">
        <v>219</v>
      </c>
      <c r="B139" s="55"/>
      <c r="C139" s="55"/>
      <c r="D139" s="55"/>
      <c r="E139" s="28">
        <f>SUM(E131:E138)</f>
        <v>0</v>
      </c>
      <c r="F139" s="29"/>
    </row>
    <row r="142" spans="1:6" ht="25.5" customHeight="1" x14ac:dyDescent="0.2">
      <c r="A142" s="56" t="s">
        <v>220</v>
      </c>
      <c r="B142" s="56"/>
      <c r="C142" s="56"/>
      <c r="D142" s="56"/>
      <c r="E142" s="56"/>
      <c r="F142" s="56"/>
    </row>
    <row r="143" spans="1:6" ht="21.75" customHeight="1" x14ac:dyDescent="0.2">
      <c r="A143" s="57" t="s">
        <v>221</v>
      </c>
      <c r="B143" s="57"/>
      <c r="C143" s="57"/>
      <c r="D143" s="57"/>
      <c r="E143" s="30">
        <f>SUM(E14,E23,E31,E40,E56,E66,E75,E80,E90,E98,E105,E112,E118,E128,E139)</f>
        <v>0</v>
      </c>
      <c r="F143" s="31"/>
    </row>
    <row r="144" spans="1:6" ht="21.75" customHeight="1" x14ac:dyDescent="0.2">
      <c r="A144" s="58" t="s">
        <v>222</v>
      </c>
      <c r="B144" s="58"/>
      <c r="C144" s="58"/>
      <c r="D144" s="58"/>
      <c r="E144" s="19">
        <f>ROUND(E143*HBCF_RATE,0)</f>
        <v>0</v>
      </c>
      <c r="F144" s="32"/>
    </row>
    <row r="145" spans="1:6" ht="21.75" customHeight="1" x14ac:dyDescent="0.2">
      <c r="A145" s="58" t="s">
        <v>33</v>
      </c>
      <c r="B145" s="58"/>
      <c r="C145" s="58"/>
      <c r="D145" s="58"/>
      <c r="E145" s="19">
        <f>ADMIN_COST</f>
        <v>5000</v>
      </c>
      <c r="F145" s="32"/>
    </row>
    <row r="146" spans="1:6" ht="21.75" customHeight="1" x14ac:dyDescent="0.2">
      <c r="A146" s="58" t="s">
        <v>34</v>
      </c>
      <c r="B146" s="58"/>
      <c r="C146" s="58"/>
      <c r="D146" s="58"/>
      <c r="E146" s="19">
        <f>PM_COST</f>
        <v>10000</v>
      </c>
      <c r="F146" s="32"/>
    </row>
    <row r="147" spans="1:6" ht="21.75" customHeight="1" x14ac:dyDescent="0.2">
      <c r="A147" s="58" t="s">
        <v>223</v>
      </c>
      <c r="B147" s="58"/>
      <c r="C147" s="58"/>
      <c r="D147" s="58"/>
      <c r="E147" s="19">
        <f>ROUND(E143*CONTINGENCY,0)</f>
        <v>0</v>
      </c>
      <c r="F147" s="32"/>
    </row>
    <row r="148" spans="1:6" ht="21.75" customHeight="1" x14ac:dyDescent="0.2">
      <c r="A148" s="57" t="s">
        <v>224</v>
      </c>
      <c r="B148" s="57"/>
      <c r="C148" s="57"/>
      <c r="D148" s="57"/>
      <c r="E148" s="30">
        <f>E143+E144+E145+E146+E147</f>
        <v>15000</v>
      </c>
      <c r="F148" s="31"/>
    </row>
    <row r="149" spans="1:6" ht="21.75" customHeight="1" x14ac:dyDescent="0.2">
      <c r="A149" s="59" t="s">
        <v>225</v>
      </c>
      <c r="B149" s="59"/>
      <c r="C149" s="59"/>
      <c r="D149" s="59"/>
      <c r="E149" s="33">
        <f>ROUND(E148*TARGET_MARGIN,0)</f>
        <v>3000</v>
      </c>
      <c r="F149" s="34"/>
    </row>
    <row r="150" spans="1:6" ht="21.75" customHeight="1" x14ac:dyDescent="0.2">
      <c r="A150" s="60" t="s">
        <v>226</v>
      </c>
      <c r="B150" s="60"/>
      <c r="C150" s="60"/>
      <c r="D150" s="60"/>
      <c r="E150" s="35">
        <f>E148+E149</f>
        <v>18000</v>
      </c>
      <c r="F150" s="36"/>
    </row>
    <row r="151" spans="1:6" ht="21.75" customHeight="1" x14ac:dyDescent="0.2">
      <c r="A151" s="58" t="s">
        <v>38</v>
      </c>
      <c r="B151" s="58"/>
      <c r="C151" s="58"/>
      <c r="D151" s="58"/>
      <c r="E151" s="19">
        <f>ROUND(E150*GST_RATE,0)</f>
        <v>1800</v>
      </c>
      <c r="F151" s="32"/>
    </row>
    <row r="152" spans="1:6" ht="30" customHeight="1" x14ac:dyDescent="0.2">
      <c r="A152" s="61" t="s">
        <v>39</v>
      </c>
      <c r="B152" s="61"/>
      <c r="C152" s="61"/>
      <c r="D152" s="61"/>
      <c r="E152" s="37">
        <f>E150+E151</f>
        <v>19800</v>
      </c>
      <c r="F152" s="38"/>
    </row>
    <row r="154" spans="1:6" ht="21.75" customHeight="1" x14ac:dyDescent="0.2">
      <c r="A154" s="59" t="s">
        <v>227</v>
      </c>
      <c r="B154" s="59"/>
      <c r="C154" s="59"/>
      <c r="D154" s="59"/>
      <c r="E154" s="39">
        <f>IFERROR(E152/COVER!B23,0)</f>
        <v>0</v>
      </c>
      <c r="F154" s="34"/>
    </row>
    <row r="155" spans="1:6" ht="21.75" customHeight="1" x14ac:dyDescent="0.2">
      <c r="A155" s="62" t="s">
        <v>41</v>
      </c>
      <c r="B155" s="62"/>
      <c r="C155" s="62"/>
      <c r="D155" s="62"/>
      <c r="E155" s="40">
        <f>IFERROR(E149/E150,0)</f>
        <v>0.16666666666666666</v>
      </c>
      <c r="F155" s="34"/>
    </row>
  </sheetData>
  <mergeCells count="45">
    <mergeCell ref="A150:D150"/>
    <mergeCell ref="A151:D151"/>
    <mergeCell ref="A152:D152"/>
    <mergeCell ref="A154:D154"/>
    <mergeCell ref="A155:D155"/>
    <mergeCell ref="A145:D145"/>
    <mergeCell ref="A146:D146"/>
    <mergeCell ref="A147:D147"/>
    <mergeCell ref="A148:D148"/>
    <mergeCell ref="A149:D149"/>
    <mergeCell ref="A130:F130"/>
    <mergeCell ref="A139:D139"/>
    <mergeCell ref="A142:F142"/>
    <mergeCell ref="A143:D143"/>
    <mergeCell ref="A144:D144"/>
    <mergeCell ref="A112:D112"/>
    <mergeCell ref="A114:F114"/>
    <mergeCell ref="A118:D118"/>
    <mergeCell ref="A120:F120"/>
    <mergeCell ref="A128:D128"/>
    <mergeCell ref="A92:F92"/>
    <mergeCell ref="A98:D98"/>
    <mergeCell ref="A100:F100"/>
    <mergeCell ref="A105:D105"/>
    <mergeCell ref="A107:F107"/>
    <mergeCell ref="A75:D75"/>
    <mergeCell ref="A77:F77"/>
    <mergeCell ref="A80:D80"/>
    <mergeCell ref="A82:F82"/>
    <mergeCell ref="A90:D90"/>
    <mergeCell ref="A42:F42"/>
    <mergeCell ref="A56:D56"/>
    <mergeCell ref="A58:F58"/>
    <mergeCell ref="A66:D66"/>
    <mergeCell ref="A68:F68"/>
    <mergeCell ref="A23:D23"/>
    <mergeCell ref="A25:F25"/>
    <mergeCell ref="A31:D31"/>
    <mergeCell ref="A33:F33"/>
    <mergeCell ref="A40:D40"/>
    <mergeCell ref="A1:F1"/>
    <mergeCell ref="A2:F2"/>
    <mergeCell ref="A5:F5"/>
    <mergeCell ref="A14:D14"/>
    <mergeCell ref="A16:F16"/>
  </mergeCells>
  <conditionalFormatting sqref="E155">
    <cfRule type="expression" dxfId="4" priority="2">
      <formula>E155&lt;MIN_MARGIN</formula>
    </cfRule>
    <cfRule type="expression" dxfId="3" priority="3">
      <formula>E155&gt;=MIN_MARGIN</formula>
    </cfRule>
  </conditionalFormatting>
  <printOptions horizontalCentered="1"/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zoomScaleNormal="100" workbookViewId="0">
      <selection sqref="A1:C1"/>
    </sheetView>
  </sheetViews>
  <sheetFormatPr baseColWidth="10" defaultColWidth="8.6640625" defaultRowHeight="15" x14ac:dyDescent="0.2"/>
  <cols>
    <col min="1" max="1" width="38" customWidth="1"/>
    <col min="2" max="2" width="18" customWidth="1"/>
    <col min="3" max="3" width="56" customWidth="1"/>
  </cols>
  <sheetData>
    <row r="1" spans="1:3" ht="25.5" customHeight="1" x14ac:dyDescent="0.2">
      <c r="A1" s="53" t="s">
        <v>228</v>
      </c>
      <c r="B1" s="53"/>
      <c r="C1" s="53"/>
    </row>
    <row r="2" spans="1:3" ht="18" customHeight="1" x14ac:dyDescent="0.2">
      <c r="A2" s="12" t="s">
        <v>229</v>
      </c>
      <c r="B2" s="12"/>
      <c r="C2" s="12"/>
    </row>
    <row r="4" spans="1:3" ht="21.75" customHeight="1" x14ac:dyDescent="0.2">
      <c r="A4" s="63" t="s">
        <v>230</v>
      </c>
      <c r="B4" s="63"/>
      <c r="C4" s="63"/>
    </row>
    <row r="5" spans="1:3" ht="25.5" customHeight="1" x14ac:dyDescent="0.2">
      <c r="A5" s="20" t="s">
        <v>231</v>
      </c>
      <c r="B5" s="41" t="s">
        <v>232</v>
      </c>
      <c r="C5" s="42" t="s">
        <v>233</v>
      </c>
    </row>
    <row r="6" spans="1:3" ht="25.5" customHeight="1" x14ac:dyDescent="0.2">
      <c r="A6" s="20" t="s">
        <v>234</v>
      </c>
      <c r="B6" s="41" t="s">
        <v>232</v>
      </c>
      <c r="C6" s="42" t="s">
        <v>235</v>
      </c>
    </row>
    <row r="7" spans="1:3" ht="25.5" customHeight="1" x14ac:dyDescent="0.2">
      <c r="A7" s="20" t="s">
        <v>236</v>
      </c>
      <c r="B7" s="41" t="s">
        <v>237</v>
      </c>
      <c r="C7" s="42" t="s">
        <v>238</v>
      </c>
    </row>
    <row r="8" spans="1:3" ht="25.5" customHeight="1" x14ac:dyDescent="0.2">
      <c r="A8" s="20" t="s">
        <v>239</v>
      </c>
      <c r="B8" s="41" t="s">
        <v>240</v>
      </c>
      <c r="C8" s="42" t="s">
        <v>241</v>
      </c>
    </row>
    <row r="9" spans="1:3" ht="25.5" customHeight="1" x14ac:dyDescent="0.2">
      <c r="A9" s="20" t="s">
        <v>242</v>
      </c>
      <c r="B9" s="41" t="s">
        <v>243</v>
      </c>
      <c r="C9" s="42" t="s">
        <v>244</v>
      </c>
    </row>
    <row r="10" spans="1:3" ht="25.5" customHeight="1" x14ac:dyDescent="0.2">
      <c r="A10" s="20" t="s">
        <v>245</v>
      </c>
      <c r="B10" s="41" t="s">
        <v>246</v>
      </c>
      <c r="C10" s="42" t="s">
        <v>247</v>
      </c>
    </row>
    <row r="11" spans="1:3" ht="25.5" customHeight="1" x14ac:dyDescent="0.2">
      <c r="A11" s="20" t="s">
        <v>248</v>
      </c>
      <c r="B11" s="41" t="s">
        <v>249</v>
      </c>
      <c r="C11" s="42" t="s">
        <v>250</v>
      </c>
    </row>
    <row r="14" spans="1:3" ht="21.75" customHeight="1" x14ac:dyDescent="0.2">
      <c r="A14" s="64" t="s">
        <v>251</v>
      </c>
      <c r="B14" s="64"/>
      <c r="C14" s="64"/>
    </row>
    <row r="15" spans="1:3" ht="21.75" customHeight="1" x14ac:dyDescent="0.2">
      <c r="A15" s="65" t="s">
        <v>252</v>
      </c>
      <c r="B15" s="65"/>
      <c r="C15" s="65"/>
    </row>
    <row r="16" spans="1:3" ht="21.75" customHeight="1" x14ac:dyDescent="0.2">
      <c r="A16" s="65" t="s">
        <v>253</v>
      </c>
      <c r="B16" s="65"/>
      <c r="C16" s="65"/>
    </row>
    <row r="17" spans="1:3" ht="21.75" customHeight="1" x14ac:dyDescent="0.2">
      <c r="A17" s="65" t="s">
        <v>254</v>
      </c>
      <c r="B17" s="65"/>
      <c r="C17" s="65"/>
    </row>
    <row r="18" spans="1:3" ht="21.75" customHeight="1" x14ac:dyDescent="0.2">
      <c r="A18" s="65" t="s">
        <v>255</v>
      </c>
      <c r="B18" s="65"/>
      <c r="C18" s="65"/>
    </row>
    <row r="19" spans="1:3" ht="21.75" customHeight="1" x14ac:dyDescent="0.2">
      <c r="A19" s="65" t="s">
        <v>256</v>
      </c>
      <c r="B19" s="65"/>
      <c r="C19" s="65"/>
    </row>
    <row r="20" spans="1:3" ht="21.75" customHeight="1" x14ac:dyDescent="0.2">
      <c r="A20" s="65" t="s">
        <v>257</v>
      </c>
      <c r="B20" s="65"/>
      <c r="C20" s="65"/>
    </row>
    <row r="21" spans="1:3" ht="21.75" customHeight="1" x14ac:dyDescent="0.2">
      <c r="A21" s="65" t="s">
        <v>258</v>
      </c>
      <c r="B21" s="65"/>
      <c r="C21" s="65"/>
    </row>
    <row r="22" spans="1:3" ht="21.75" customHeight="1" x14ac:dyDescent="0.2">
      <c r="A22" s="65" t="s">
        <v>259</v>
      </c>
      <c r="B22" s="65"/>
      <c r="C22" s="65"/>
    </row>
    <row r="23" spans="1:3" ht="21.75" customHeight="1" x14ac:dyDescent="0.2">
      <c r="A23" s="65" t="s">
        <v>260</v>
      </c>
      <c r="B23" s="65"/>
      <c r="C23" s="65"/>
    </row>
    <row r="24" spans="1:3" ht="21.75" customHeight="1" x14ac:dyDescent="0.2">
      <c r="A24" s="65" t="s">
        <v>261</v>
      </c>
      <c r="B24" s="65"/>
      <c r="C24" s="65"/>
    </row>
  </sheetData>
  <mergeCells count="14">
    <mergeCell ref="A21:C21"/>
    <mergeCell ref="A22:C22"/>
    <mergeCell ref="A23:C23"/>
    <mergeCell ref="A24:C24"/>
    <mergeCell ref="A16:C16"/>
    <mergeCell ref="A17:C17"/>
    <mergeCell ref="A18:C18"/>
    <mergeCell ref="A19:C19"/>
    <mergeCell ref="A20:C20"/>
    <mergeCell ref="A1:C1"/>
    <mergeCell ref="A2:C2"/>
    <mergeCell ref="A4:C4"/>
    <mergeCell ref="A14:C14"/>
    <mergeCell ref="A15:C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tabSelected="1" zoomScaleNormal="100" workbookViewId="0">
      <selection sqref="A1:D1"/>
    </sheetView>
  </sheetViews>
  <sheetFormatPr baseColWidth="10" defaultColWidth="8.6640625" defaultRowHeight="15" x14ac:dyDescent="0.2"/>
  <cols>
    <col min="1" max="1" width="28" customWidth="1"/>
    <col min="2" max="2" width="22" customWidth="1"/>
    <col min="3" max="3" width="4" customWidth="1"/>
    <col min="4" max="4" width="36" customWidth="1"/>
  </cols>
  <sheetData>
    <row r="1" spans="1:4" ht="25.5" customHeight="1" x14ac:dyDescent="0.2">
      <c r="A1" s="53" t="s">
        <v>262</v>
      </c>
      <c r="B1" s="53"/>
      <c r="C1" s="53"/>
      <c r="D1" s="53"/>
    </row>
    <row r="2" spans="1:4" ht="18" customHeight="1" x14ac:dyDescent="0.2">
      <c r="A2" s="12" t="s">
        <v>263</v>
      </c>
      <c r="B2" s="12"/>
      <c r="C2" s="12"/>
      <c r="D2" s="12"/>
    </row>
    <row r="4" spans="1:4" ht="25.5" customHeight="1" x14ac:dyDescent="0.2">
      <c r="A4" s="17" t="s">
        <v>264</v>
      </c>
      <c r="B4" s="43">
        <f>CONTRACT_VALUE</f>
        <v>19800</v>
      </c>
      <c r="C4" s="44" t="s">
        <v>265</v>
      </c>
    </row>
    <row r="5" spans="1:4" ht="25.5" customHeight="1" x14ac:dyDescent="0.2">
      <c r="A5" s="20" t="s">
        <v>35</v>
      </c>
      <c r="B5" s="45">
        <f>COST_BASE</f>
        <v>15000</v>
      </c>
      <c r="C5" s="44" t="s">
        <v>265</v>
      </c>
    </row>
    <row r="6" spans="1:4" ht="25.5" customHeight="1" x14ac:dyDescent="0.2">
      <c r="A6" s="20" t="s">
        <v>266</v>
      </c>
      <c r="B6" s="45">
        <f>MARGIN_DOLLAR</f>
        <v>3000</v>
      </c>
      <c r="C6" s="44" t="s">
        <v>267</v>
      </c>
    </row>
    <row r="7" spans="1:4" ht="25.5" customHeight="1" x14ac:dyDescent="0.2">
      <c r="A7" s="17" t="s">
        <v>268</v>
      </c>
      <c r="B7" s="46">
        <f>GROSS_MARGIN_PCT</f>
        <v>0.16666666666666666</v>
      </c>
      <c r="C7" s="44" t="s">
        <v>269</v>
      </c>
    </row>
    <row r="8" spans="1:4" ht="25.5" customHeight="1" x14ac:dyDescent="0.2">
      <c r="A8" s="20" t="s">
        <v>270</v>
      </c>
      <c r="B8" s="21">
        <f>MIN_MARGIN</f>
        <v>0.15</v>
      </c>
      <c r="C8" s="44" t="s">
        <v>271</v>
      </c>
    </row>
    <row r="9" spans="1:4" ht="25.5" customHeight="1" x14ac:dyDescent="0.2">
      <c r="A9" s="20" t="s">
        <v>272</v>
      </c>
      <c r="B9" s="21">
        <f>TARGET_MARGIN</f>
        <v>0.2</v>
      </c>
      <c r="C9" s="44" t="s">
        <v>273</v>
      </c>
    </row>
    <row r="10" spans="1:4" ht="25.5" customHeight="1" x14ac:dyDescent="0.2">
      <c r="A10" s="17" t="s">
        <v>274</v>
      </c>
      <c r="B10" s="47" t="str">
        <f>IF(GROSS_MARGIN_PCT&gt;=TARGET_MARGIN,"✓ AT TARGET",IF(GROSS_MARGIN_PCT&gt;=MIN_MARGIN,"⚠ ACCEPTABLE — BELOW TARGET","✗ BELOW MINIMUM — REPRICE OR PASS"))</f>
        <v>⚠ ACCEPTABLE — BELOW TARGET</v>
      </c>
      <c r="C10" s="44" t="s">
        <v>275</v>
      </c>
    </row>
  </sheetData>
  <mergeCells count="2">
    <mergeCell ref="A1:D1"/>
    <mergeCell ref="A2:D2"/>
  </mergeCells>
  <conditionalFormatting sqref="B10">
    <cfRule type="expression" dxfId="2" priority="2">
      <formula>LEFT(B10,1)="✓"</formula>
    </cfRule>
    <cfRule type="expression" dxfId="1" priority="3">
      <formula>LEFT(B10,1)="⚠"</formula>
    </cfRule>
    <cfRule type="expression" dxfId="0" priority="4">
      <formula>LEFT(B10,1)="✗"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zoomScaleNormal="100" workbookViewId="0">
      <selection activeCell="B18" sqref="B18"/>
    </sheetView>
  </sheetViews>
  <sheetFormatPr baseColWidth="10" defaultColWidth="8.6640625" defaultRowHeight="15" x14ac:dyDescent="0.2"/>
  <cols>
    <col min="1" max="1" width="36" customWidth="1"/>
    <col min="2" max="2" width="16" customWidth="1"/>
    <col min="3" max="3" width="60" customWidth="1"/>
  </cols>
  <sheetData>
    <row r="1" spans="1:3" ht="27.75" customHeight="1" x14ac:dyDescent="0.2">
      <c r="A1" s="53" t="s">
        <v>276</v>
      </c>
      <c r="B1" s="53"/>
      <c r="C1" s="53"/>
    </row>
    <row r="2" spans="1:3" ht="18" customHeight="1" x14ac:dyDescent="0.2">
      <c r="A2" s="12" t="s">
        <v>277</v>
      </c>
      <c r="B2" s="12"/>
      <c r="C2" s="12"/>
    </row>
    <row r="4" spans="1:3" ht="27.75" customHeight="1" x14ac:dyDescent="0.2">
      <c r="A4" s="17" t="s">
        <v>278</v>
      </c>
      <c r="B4" s="48">
        <v>0.2</v>
      </c>
      <c r="C4" s="44" t="s">
        <v>279</v>
      </c>
    </row>
    <row r="5" spans="1:3" ht="27.75" customHeight="1" x14ac:dyDescent="0.2">
      <c r="A5" s="17" t="s">
        <v>280</v>
      </c>
      <c r="B5" s="48">
        <v>0.15</v>
      </c>
      <c r="C5" s="44" t="s">
        <v>281</v>
      </c>
    </row>
    <row r="6" spans="1:3" ht="27.75" customHeight="1" x14ac:dyDescent="0.2">
      <c r="A6" s="17" t="s">
        <v>282</v>
      </c>
      <c r="B6" s="48">
        <v>0.1</v>
      </c>
      <c r="C6" s="44" t="s">
        <v>283</v>
      </c>
    </row>
    <row r="7" spans="1:3" ht="27.75" customHeight="1" x14ac:dyDescent="0.2">
      <c r="A7" s="17" t="s">
        <v>284</v>
      </c>
      <c r="B7" s="49">
        <v>1.2999999999999999E-2</v>
      </c>
      <c r="C7" s="44" t="s">
        <v>285</v>
      </c>
    </row>
    <row r="8" spans="1:3" ht="27.75" customHeight="1" x14ac:dyDescent="0.2">
      <c r="A8" s="17" t="s">
        <v>286</v>
      </c>
      <c r="B8" s="50">
        <v>5000</v>
      </c>
      <c r="C8" s="44" t="s">
        <v>287</v>
      </c>
    </row>
    <row r="9" spans="1:3" ht="27.75" customHeight="1" x14ac:dyDescent="0.2">
      <c r="A9" s="17" t="s">
        <v>288</v>
      </c>
      <c r="B9" s="50">
        <v>10000</v>
      </c>
      <c r="C9" s="44" t="s">
        <v>289</v>
      </c>
    </row>
    <row r="10" spans="1:3" ht="27.75" customHeight="1" x14ac:dyDescent="0.2">
      <c r="A10" s="17" t="s">
        <v>290</v>
      </c>
      <c r="B10" s="48">
        <v>2.5000000000000001E-2</v>
      </c>
      <c r="C10" s="44" t="s">
        <v>291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zoomScaleNormal="100" workbookViewId="0">
      <selection sqref="A1:B1"/>
    </sheetView>
  </sheetViews>
  <sheetFormatPr baseColWidth="10" defaultColWidth="8.6640625" defaultRowHeight="15" x14ac:dyDescent="0.2"/>
  <cols>
    <col min="1" max="1" width="50" customWidth="1"/>
    <col min="2" max="2" width="60" customWidth="1"/>
  </cols>
  <sheetData>
    <row r="1" spans="1:2" ht="25.5" customHeight="1" x14ac:dyDescent="0.2">
      <c r="A1" s="53" t="s">
        <v>292</v>
      </c>
      <c r="B1" s="53"/>
    </row>
    <row r="3" spans="1:2" ht="31.5" customHeight="1" x14ac:dyDescent="0.2">
      <c r="A3" s="51" t="s">
        <v>293</v>
      </c>
      <c r="B3" s="52" t="s">
        <v>294</v>
      </c>
    </row>
    <row r="4" spans="1:2" ht="31.5" customHeight="1" x14ac:dyDescent="0.2">
      <c r="A4" s="51" t="s">
        <v>295</v>
      </c>
      <c r="B4" s="52" t="s">
        <v>296</v>
      </c>
    </row>
    <row r="5" spans="1:2" ht="31.5" customHeight="1" x14ac:dyDescent="0.2">
      <c r="A5" s="51" t="s">
        <v>297</v>
      </c>
      <c r="B5" s="52" t="s">
        <v>298</v>
      </c>
    </row>
    <row r="6" spans="1:2" ht="31.5" customHeight="1" x14ac:dyDescent="0.2">
      <c r="A6" s="51" t="s">
        <v>299</v>
      </c>
      <c r="B6" s="52" t="s">
        <v>300</v>
      </c>
    </row>
    <row r="7" spans="1:2" ht="31.5" customHeight="1" x14ac:dyDescent="0.2">
      <c r="A7" s="51" t="s">
        <v>301</v>
      </c>
      <c r="B7" s="52" t="s">
        <v>302</v>
      </c>
    </row>
    <row r="8" spans="1:2" ht="31.5" customHeight="1" x14ac:dyDescent="0.2">
      <c r="A8" s="51" t="s">
        <v>303</v>
      </c>
      <c r="B8" s="52" t="s">
        <v>304</v>
      </c>
    </row>
    <row r="9" spans="1:2" ht="31.5" customHeight="1" x14ac:dyDescent="0.2">
      <c r="A9" s="51" t="s">
        <v>305</v>
      </c>
      <c r="B9" s="52" t="s">
        <v>306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19</vt:i4>
      </vt:variant>
    </vt:vector>
  </HeadingPairs>
  <TitlesOfParts>
    <vt:vector size="25" baseType="lpstr">
      <vt:lpstr>COVER</vt:lpstr>
      <vt:lpstr>QUOTE</vt:lpstr>
      <vt:lpstr>ALLOWANCES</vt:lpstr>
      <vt:lpstr>MARGIN ANALYSIS</vt:lpstr>
      <vt:lpstr>SETTINGS</vt:lpstr>
      <vt:lpstr>HOW TO USE</vt:lpstr>
      <vt:lpstr>ADMIN_COST</vt:lpstr>
      <vt:lpstr>CONTINGENCY</vt:lpstr>
      <vt:lpstr>CONTINGENCY__</vt:lpstr>
      <vt:lpstr>CONTRACT_VALUE</vt:lpstr>
      <vt:lpstr>COST_BASE</vt:lpstr>
      <vt:lpstr>DIRECT_TOTAL</vt:lpstr>
      <vt:lpstr>E_ADMIN</vt:lpstr>
      <vt:lpstr>E_HBCF</vt:lpstr>
      <vt:lpstr>E_PM</vt:lpstr>
      <vt:lpstr>GROSS_MARGIN_PCT</vt:lpstr>
      <vt:lpstr>GST_AMT</vt:lpstr>
      <vt:lpstr>GST_RATE</vt:lpstr>
      <vt:lpstr>HBCF_RATE</vt:lpstr>
      <vt:lpstr>MARGIN_DOLLAR</vt:lpstr>
      <vt:lpstr>MIN_MARGIN</vt:lpstr>
      <vt:lpstr>PER_SQM</vt:lpstr>
      <vt:lpstr>PM_COST</vt:lpstr>
      <vt:lpstr>SUBTOTAL_EX</vt:lpstr>
      <vt:lpstr>TARGET_MARGIN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Gurpinder Uppal</cp:lastModifiedBy>
  <cp:revision>0</cp:revision>
  <dcterms:created xsi:type="dcterms:W3CDTF">2026-05-14T08:40:02Z</dcterms:created>
  <dcterms:modified xsi:type="dcterms:W3CDTF">2026-05-14T08:46:13Z</dcterms:modified>
  <dc:language>en-US</dc:language>
</cp:coreProperties>
</file>